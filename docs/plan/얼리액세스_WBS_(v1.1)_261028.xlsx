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530" yWindow="8460" windowWidth="23200" windowHeight="13140" tabRatio="600" firstSheet="0" activeTab="0" autoFilterDateGrouping="1"/>
  </bookViews>
  <sheets>
    <sheet xmlns:r="http://schemas.openxmlformats.org/officeDocument/2006/relationships" name="갠트 차트 템플릿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&quot;. &quot;d"/>
    <numFmt numFmtId="165" formatCode="yy&quot;년 &quot;m&quot;월 &quot;d&quot;일&quot;"/>
  </numFmts>
  <fonts count="20">
    <font>
      <name val="Arial"/>
      <color rgb="FF000000"/>
      <sz val="10"/>
    </font>
    <font>
      <name val="Poppins"/>
      <sz val="11"/>
    </font>
    <font>
      <name val="Roboto"/>
      <b val="1"/>
      <color rgb="FF0B5394"/>
      <sz val="30"/>
    </font>
    <font>
      <name val="Arial"/>
      <family val="2"/>
      <sz val="10"/>
    </font>
    <font>
      <name val="Roboto"/>
      <b val="1"/>
      <color rgb="FF0B5394"/>
      <sz val="32"/>
    </font>
    <font>
      <name val="Roboto"/>
      <b val="1"/>
      <color rgb="FF0B5394"/>
      <sz val="12"/>
    </font>
    <font>
      <name val="Roboto"/>
      <b val="1"/>
      <color rgb="FF666666"/>
      <sz val="10"/>
    </font>
    <font>
      <name val="Roboto"/>
      <i val="1"/>
      <color rgb="FF980000"/>
      <sz val="10"/>
    </font>
    <font>
      <name val="Roboto"/>
      <color rgb="FF999999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sz val="11"/>
    </font>
    <font>
      <name val="Roboto"/>
      <b val="1"/>
      <color rgb="FF000000"/>
      <sz val="11"/>
    </font>
    <font>
      <name val="Roboto"/>
      <b val="1"/>
      <i val="1"/>
      <color rgb="FF434343"/>
      <sz val="11"/>
    </font>
    <font>
      <name val="Roboto"/>
      <i val="1"/>
      <color rgb="FF980000"/>
      <sz val="11"/>
    </font>
    <font>
      <name val="Roboto"/>
      <sz val="10"/>
    </font>
    <font>
      <name val="Roboto"/>
      <color rgb="FF434343"/>
      <sz val="10"/>
    </font>
    <font>
      <name val="Roboto"/>
      <i val="1"/>
      <color rgb="FFCC0000"/>
      <sz val="10"/>
    </font>
    <font>
      <name val="Roboto"/>
      <i val="1"/>
      <color rgb="FF434343"/>
      <sz val="10"/>
    </font>
    <font>
      <name val="돋움체"/>
      <charset val="129"/>
      <family val="3"/>
      <sz val="8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3C79E"/>
        <bgColor rgb="FF73C79E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6" fillId="0" borderId="2" applyAlignment="1" pivotButton="0" quotePrefix="0" xfId="0">
      <alignment horizontal="left" vertical="center"/>
    </xf>
    <xf numFmtId="0" fontId="8" fillId="2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3" borderId="3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2" fillId="4" borderId="3" applyAlignment="1" pivotButton="0" quotePrefix="0" xfId="0">
      <alignment horizontal="left" vertical="center" wrapText="1"/>
    </xf>
    <xf numFmtId="0" fontId="12" fillId="4" borderId="3" applyAlignment="1" pivotButton="0" quotePrefix="0" xfId="0">
      <alignment vertical="center"/>
    </xf>
    <xf numFmtId="0" fontId="12" fillId="4" borderId="3" applyAlignment="1" pivotButton="0" quotePrefix="0" xfId="0">
      <alignment vertical="center" wrapText="1"/>
    </xf>
    <xf numFmtId="164" fontId="12" fillId="4" borderId="3" applyAlignment="1" pivotButton="0" quotePrefix="0" xfId="0">
      <alignment horizontal="right" vertical="center" wrapText="1"/>
    </xf>
    <xf numFmtId="0" fontId="13" fillId="4" borderId="3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vertical="center" wrapText="1"/>
    </xf>
    <xf numFmtId="164" fontId="17" fillId="0" borderId="3" applyAlignment="1" pivotButton="0" quotePrefix="0" xfId="0">
      <alignment horizontal="right" vertical="center" wrapText="1"/>
    </xf>
    <xf numFmtId="0" fontId="18" fillId="0" borderId="3" applyAlignment="1" pivotButton="0" quotePrefix="0" xfId="0">
      <alignment horizontal="center" vertical="center" wrapText="1"/>
    </xf>
    <xf numFmtId="9" fontId="16" fillId="0" borderId="3" applyAlignment="1" pivotButton="0" quotePrefix="0" xfId="0">
      <alignment horizontal="right" vertical="center" wrapText="1"/>
    </xf>
    <xf numFmtId="0" fontId="7" fillId="0" borderId="3" applyAlignment="1" pivotButton="0" quotePrefix="0" xfId="0">
      <alignment vertical="center"/>
    </xf>
    <xf numFmtId="0" fontId="15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164" fontId="7" fillId="0" borderId="3" applyAlignment="1" pivotButton="0" quotePrefix="0" xfId="0">
      <alignment horizontal="right" vertical="center" wrapText="1"/>
    </xf>
    <xf numFmtId="9" fontId="12" fillId="4" borderId="3" applyAlignment="1" pivotButton="0" quotePrefix="0" xfId="0">
      <alignment horizontal="right" vertical="center" wrapText="1"/>
    </xf>
    <xf numFmtId="0" fontId="14" fillId="4" borderId="3" applyAlignment="1" pivotButton="0" quotePrefix="0" xfId="0">
      <alignment vertical="center"/>
    </xf>
    <xf numFmtId="0" fontId="15" fillId="0" borderId="3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165" fontId="7" fillId="0" borderId="2" applyAlignment="1" pivotButton="0" quotePrefix="0" xfId="0">
      <alignment horizontal="left" vertical="center"/>
    </xf>
    <xf numFmtId="0" fontId="3" fillId="0" borderId="2" pivotButton="0" quotePrefix="0" xfId="0"/>
    <xf numFmtId="0" fontId="2" fillId="2" borderId="1" applyAlignment="1" pivotButton="0" quotePrefix="0" xfId="0">
      <alignment vertical="center"/>
    </xf>
    <xf numFmtId="0" fontId="3" fillId="0" borderId="1" pivotButton="0" quotePrefix="0" xfId="0"/>
    <xf numFmtId="0" fontId="5" fillId="2" borderId="1" applyAlignment="1" pivotButton="0" quotePrefix="0" xfId="0">
      <alignment vertical="center" wrapText="1"/>
    </xf>
    <xf numFmtId="0" fontId="6" fillId="0" borderId="2" applyAlignment="1" pivotButton="0" quotePrefix="0" xfId="0">
      <alignment horizontal="left" vertical="center"/>
    </xf>
    <xf numFmtId="0" fontId="7" fillId="2" borderId="2" applyAlignment="1" pivotButton="0" quotePrefix="0" xfId="0">
      <alignment vertical="center"/>
    </xf>
    <xf numFmtId="0" fontId="7" fillId="0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  <xf numFmtId="165" fontId="7" fillId="0" borderId="2" applyAlignment="1" pivotButton="0" quotePrefix="0" xfId="0">
      <alignment horizontal="left" vertical="center"/>
    </xf>
    <xf numFmtId="164" fontId="12" fillId="4" borderId="3" applyAlignment="1" pivotButton="0" quotePrefix="0" xfId="0">
      <alignment horizontal="right" vertical="center" wrapText="1"/>
    </xf>
    <xf numFmtId="164" fontId="17" fillId="0" borderId="3" applyAlignment="1" pivotButton="0" quotePrefix="0" xfId="0">
      <alignment horizontal="righ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L69"/>
  <sheetViews>
    <sheetView showGridLines="0" tabSelected="1" workbookViewId="0">
      <selection activeCell="I12" sqref="I12"/>
    </sheetView>
  </sheetViews>
  <sheetFormatPr baseColWidth="8" defaultColWidth="12.6328125" defaultRowHeight="15.75" customHeight="1" outlineLevelRow="1"/>
  <cols>
    <col width="3" customWidth="1" style="30" min="1" max="1"/>
    <col width="7.36328125" customWidth="1" style="30" min="2" max="2"/>
    <col width="27.7265625" customWidth="1" style="30" min="3" max="3"/>
    <col width="12.08984375" customWidth="1" style="30" min="4" max="4"/>
    <col width="12.453125" customWidth="1" style="30" min="5" max="6"/>
    <col hidden="1" width="8.6328125" customWidth="1" style="30" min="7" max="7"/>
    <col width="5" customWidth="1" style="30" min="8" max="8"/>
    <col width="21.26953125" customWidth="1" style="30" min="9" max="9"/>
    <col width="9" customWidth="1" style="30" min="10" max="10"/>
    <col width="12.90625" customWidth="1" style="30" min="11" max="11"/>
    <col width="10.08984375" customWidth="1" style="30" min="12" max="12"/>
  </cols>
  <sheetData>
    <row r="1" ht="21" customHeight="1" s="30">
      <c r="A1" s="1" t="n"/>
      <c r="B1" s="34" t="inlineStr">
        <is>
          <t>WBS</t>
        </is>
      </c>
      <c r="C1" s="40" t="n"/>
      <c r="D1" s="40" t="n"/>
      <c r="E1" s="40" t="n"/>
      <c r="F1" s="40" t="n"/>
      <c r="G1" s="40" t="n"/>
      <c r="H1" s="2" t="n"/>
      <c r="I1" s="36" t="n"/>
      <c r="J1" s="40" t="n"/>
      <c r="K1" s="40" t="n"/>
      <c r="L1" s="40" t="n"/>
    </row>
    <row r="2" ht="21" customHeight="1" s="30">
      <c r="A2" s="1" t="n"/>
      <c r="B2" s="37" t="inlineStr">
        <is>
          <t>프로젝트 이름</t>
        </is>
      </c>
      <c r="C2" s="41" t="n"/>
      <c r="D2" s="38" t="inlineStr">
        <is>
          <t>한자리</t>
        </is>
      </c>
      <c r="E2" s="41" t="n"/>
      <c r="F2" s="41" t="n"/>
      <c r="G2" s="41" t="n"/>
      <c r="H2" s="4" t="n"/>
      <c r="I2" s="37" t="inlineStr">
        <is>
          <t>조명</t>
        </is>
      </c>
      <c r="J2" s="39" t="inlineStr">
        <is>
          <t>얼리액세스</t>
        </is>
      </c>
      <c r="K2" s="41" t="n"/>
      <c r="L2" s="41" t="n"/>
    </row>
    <row r="3" ht="21" customHeight="1" s="30">
      <c r="A3" s="1" t="n"/>
      <c r="B3" s="29" t="inlineStr">
        <is>
          <t>프로젝트 관리자</t>
        </is>
      </c>
      <c r="D3" s="31" t="inlineStr">
        <is>
          <t>황정원</t>
        </is>
      </c>
      <c r="H3" s="6" t="n"/>
      <c r="I3" s="29" t="inlineStr">
        <is>
          <t>날짜</t>
        </is>
      </c>
      <c r="J3" s="42" t="n">
        <v>46323</v>
      </c>
      <c r="K3" s="41" t="n"/>
      <c r="L3" s="41" t="n"/>
    </row>
    <row r="4" ht="17.25" customHeight="1" s="30">
      <c r="A4" s="7" t="n"/>
      <c r="B4" s="8" t="inlineStr">
        <is>
          <t>NO</t>
        </is>
      </c>
      <c r="C4" s="8" t="inlineStr">
        <is>
          <t>작업 제목</t>
        </is>
      </c>
      <c r="D4" s="8" t="inlineStr">
        <is>
          <t>작업자</t>
        </is>
      </c>
      <c r="E4" s="8" t="inlineStr">
        <is>
          <t>시작일</t>
        </is>
      </c>
      <c r="F4" s="8" t="inlineStr">
        <is>
          <t>종료일</t>
        </is>
      </c>
      <c r="G4" s="8" t="inlineStr">
        <is>
          <t>기간</t>
        </is>
      </c>
      <c r="H4" s="8" t="inlineStr">
        <is>
          <t>완료
비율</t>
        </is>
      </c>
      <c r="I4" s="8" t="inlineStr">
        <is>
          <t>완료조건</t>
        </is>
      </c>
      <c r="J4" s="9" t="inlineStr">
        <is>
          <t>산출물</t>
        </is>
      </c>
      <c r="K4" s="9" t="inlineStr">
        <is>
          <t>Epic(요구기능)</t>
        </is>
      </c>
      <c r="L4" s="9" t="inlineStr">
        <is>
          <t>기타</t>
        </is>
      </c>
    </row>
    <row r="5" ht="25" customHeight="1" s="30">
      <c r="A5" s="10" t="n"/>
      <c r="B5" s="11" t="inlineStr">
        <is>
          <t>1</t>
        </is>
      </c>
      <c r="C5" s="13" t="inlineStr">
        <is>
          <t>#1 범위·설계</t>
        </is>
      </c>
      <c r="D5" s="13" t="n"/>
      <c r="E5" s="43" t="n">
        <v>46279</v>
      </c>
      <c r="F5" s="43" t="n">
        <v>46290</v>
      </c>
      <c r="G5" s="15">
        <f>F5-E5+1</f>
        <v/>
      </c>
      <c r="H5" s="26">
        <f>IF(COUNT(H6:H17)&lt;ROWS(H6:H17),"",AVERAGE(H6:H17))</f>
        <v/>
      </c>
      <c r="I5" s="27" t="inlineStr">
        <is>
          <t>범위·정답 설계 합의</t>
        </is>
      </c>
      <c r="J5" s="12" t="inlineStr">
        <is>
          <t>설계초안</t>
        </is>
      </c>
      <c r="K5" s="12" t="inlineStr">
        <is>
          <t>범위·설계</t>
        </is>
      </c>
      <c r="L5" s="13" t="inlineStr">
        <is>
          <t>3~4주차</t>
        </is>
      </c>
    </row>
    <row r="6" outlineLevel="1" ht="20" customHeight="1" s="30">
      <c r="A6" s="16" t="n"/>
      <c r="B6" s="17" t="inlineStr">
        <is>
          <t>1.1</t>
        </is>
      </c>
      <c r="C6" s="18" t="inlineStr">
        <is>
          <t>범위·스프린트 계획 정리</t>
        </is>
      </c>
      <c r="D6" s="18" t="inlineStr">
        <is>
          <t>황정원</t>
        </is>
      </c>
      <c r="E6" s="44" t="n">
        <v>46279</v>
      </c>
      <c r="F6" s="44" t="n">
        <v>46279</v>
      </c>
      <c r="G6" s="20">
        <f>F6-E6+1</f>
        <v/>
      </c>
      <c r="H6" s="21" t="n">
        <v>1</v>
      </c>
      <c r="I6" s="22" t="inlineStr">
        <is>
          <t>대상·범위 합의</t>
        </is>
      </c>
      <c r="J6" s="23" t="inlineStr">
        <is>
          <t>기획서</t>
        </is>
      </c>
      <c r="K6" s="23" t="inlineStr">
        <is>
          <t>공통</t>
        </is>
      </c>
      <c r="L6" s="28" t="inlineStr">
        <is>
          <t>9/23 등교 6곳 확정</t>
        </is>
      </c>
    </row>
    <row r="7" outlineLevel="1" ht="20" customHeight="1" s="30">
      <c r="A7" s="16" t="n"/>
      <c r="B7" s="17" t="inlineStr">
        <is>
          <t>1.2</t>
        </is>
      </c>
      <c r="C7" s="18" t="inlineStr">
        <is>
          <t>버스 API 실응답 확인</t>
        </is>
      </c>
      <c r="D7" s="18" t="inlineStr">
        <is>
          <t>유민준·최지용</t>
        </is>
      </c>
      <c r="E7" s="44" t="n">
        <v>46280</v>
      </c>
      <c r="F7" s="44" t="n">
        <v>46288</v>
      </c>
      <c r="G7" s="20">
        <f>F7-E7+1</f>
        <v/>
      </c>
      <c r="H7" s="21" t="n">
        <v>1</v>
      </c>
      <c r="I7" s="22" t="inlineStr">
        <is>
          <t>승객·도착·위치 응답 확인</t>
        </is>
      </c>
      <c r="J7" s="23" t="inlineStr">
        <is>
          <t>점검표</t>
        </is>
      </c>
      <c r="K7" s="23" t="inlineStr">
        <is>
          <t>도착조회</t>
        </is>
      </c>
      <c r="L7" s="28" t="inlineStr">
        <is>
          <t>승객 수 제공 확인</t>
        </is>
      </c>
    </row>
    <row r="8" outlineLevel="1" ht="20" customHeight="1" s="30">
      <c r="A8" s="16" t="n"/>
      <c r="B8" s="17" t="inlineStr">
        <is>
          <t>1.3</t>
        </is>
      </c>
      <c r="C8" s="18" t="inlineStr">
        <is>
          <t>정답 정의·자동 생성 설계</t>
        </is>
      </c>
      <c r="D8" s="18" t="inlineStr">
        <is>
          <t>최지용</t>
        </is>
      </c>
      <c r="E8" s="44" t="n">
        <v>46280</v>
      </c>
      <c r="F8" s="44" t="n">
        <v>46288</v>
      </c>
      <c r="G8" s="20">
        <f>F8-E8+1</f>
        <v/>
      </c>
      <c r="H8" s="21" t="n">
        <v>1</v>
      </c>
      <c r="I8" s="22" t="inlineStr">
        <is>
          <t>도착 시 승객 수=정답 합의</t>
        </is>
      </c>
      <c r="J8" s="23" t="inlineStr">
        <is>
          <t>설계문서</t>
        </is>
      </c>
      <c r="K8" s="23" t="inlineStr">
        <is>
          <t>데이터기록</t>
        </is>
      </c>
      <c r="L8" s="28" t="inlineStr">
        <is>
          <t>사람 관측 대신 자동</t>
        </is>
      </c>
    </row>
    <row r="9" outlineLevel="1" ht="20" customHeight="1" s="30">
      <c r="A9" s="16" t="n"/>
      <c r="B9" s="17" t="inlineStr">
        <is>
          <t>1.4</t>
        </is>
      </c>
      <c r="C9" s="18" t="inlineStr">
        <is>
          <t>관측 방식 재검토</t>
        </is>
      </c>
      <c r="D9" s="18" t="inlineStr">
        <is>
          <t>황정원</t>
        </is>
      </c>
      <c r="E9" s="44" t="n">
        <v>46280</v>
      </c>
      <c r="F9" s="44" t="n">
        <v>46288</v>
      </c>
      <c r="G9" s="20">
        <f>F9-E9+1</f>
        <v/>
      </c>
      <c r="H9" s="21" t="n">
        <v>1</v>
      </c>
      <c r="I9" s="22" t="inlineStr">
        <is>
          <t>자동 정답 전환 합의</t>
        </is>
      </c>
      <c r="J9" s="23" t="inlineStr">
        <is>
          <t>평가계획</t>
        </is>
      </c>
      <c r="K9" s="23" t="inlineStr">
        <is>
          <t>데이터기록</t>
        </is>
      </c>
      <c r="L9" s="28" t="inlineStr">
        <is>
          <t>현장 관측 11주로</t>
        </is>
      </c>
    </row>
    <row r="10" outlineLevel="1" ht="20" customHeight="1" s="30">
      <c r="A10" s="16" t="n"/>
      <c r="B10" s="17" t="inlineStr">
        <is>
          <t>1.5</t>
        </is>
      </c>
      <c r="C10" s="18" t="inlineStr">
        <is>
          <t>실시간 자동 수집 구축</t>
        </is>
      </c>
      <c r="D10" s="18" t="inlineStr">
        <is>
          <t>최지용</t>
        </is>
      </c>
      <c r="E10" s="44" t="n">
        <v>46288</v>
      </c>
      <c r="F10" s="44" t="n">
        <v>46290</v>
      </c>
      <c r="G10" s="20">
        <f>F10-E10+1</f>
        <v/>
      </c>
      <c r="H10" s="21" t="n">
        <v>1</v>
      </c>
      <c r="I10" s="22" t="inlineStr">
        <is>
          <t>2개 노선 상시 수집</t>
        </is>
      </c>
      <c r="J10" s="23" t="inlineStr">
        <is>
          <t>수집기</t>
        </is>
      </c>
      <c r="K10" s="23" t="inlineStr">
        <is>
          <t>데이터기록</t>
        </is>
      </c>
      <c r="L10" s="28" t="inlineStr">
        <is>
          <t>정규 관측 대체</t>
        </is>
      </c>
    </row>
    <row r="11" outlineLevel="1" ht="20" customHeight="1" s="30">
      <c r="A11" s="16" t="n"/>
      <c r="B11" s="17" t="inlineStr">
        <is>
          <t>1.6</t>
        </is>
      </c>
      <c r="C11" s="18" t="inlineStr">
        <is>
          <t>화면·사용 흐름 설계</t>
        </is>
      </c>
      <c r="D11" s="18" t="inlineStr">
        <is>
          <t>서재현</t>
        </is>
      </c>
      <c r="E11" s="44" t="n">
        <v>46280</v>
      </c>
      <c r="F11" s="44" t="n">
        <v>46281</v>
      </c>
      <c r="G11" s="20">
        <f>F11-E11+1</f>
        <v/>
      </c>
      <c r="H11" s="21" t="n">
        <v>1</v>
      </c>
      <c r="I11" s="22" t="inlineStr">
        <is>
          <t>선택·입력 흐름 합의</t>
        </is>
      </c>
      <c r="J11" s="23" t="inlineStr">
        <is>
          <t>화면설계</t>
        </is>
      </c>
      <c r="K11" s="23" t="inlineStr">
        <is>
          <t>인원입력</t>
        </is>
      </c>
      <c r="L11" s="28" t="inlineStr">
        <is>
          <t>정류장 선택</t>
        </is>
      </c>
    </row>
    <row r="12" outlineLevel="1" ht="20" customHeight="1" s="30">
      <c r="A12" s="16" t="n"/>
      <c r="B12" s="17" t="inlineStr">
        <is>
          <t>1.7</t>
        </is>
      </c>
      <c r="C12" s="18" t="inlineStr">
        <is>
          <t>OSS 후보 3종 비교</t>
        </is>
      </c>
      <c r="D12" s="18" t="inlineStr">
        <is>
          <t>유민준</t>
        </is>
      </c>
      <c r="E12" s="44" t="n">
        <v>46286</v>
      </c>
      <c r="F12" s="44" t="n">
        <v>46287</v>
      </c>
      <c r="G12" s="20">
        <f>F12-E12+1</f>
        <v/>
      </c>
      <c r="H12" s="21" t="n">
        <v>1</v>
      </c>
      <c r="I12" s="22" t="inlineStr">
        <is>
          <t>후보별 선정 근거 정리</t>
        </is>
      </c>
      <c r="J12" s="23" t="inlineStr">
        <is>
          <t>OSS표</t>
        </is>
      </c>
      <c r="K12" s="23" t="inlineStr">
        <is>
          <t>모델평가</t>
        </is>
      </c>
      <c r="L12" s="28" t="inlineStr">
        <is>
          <t>XGB·LGB·CB</t>
        </is>
      </c>
    </row>
    <row r="13" outlineLevel="1" ht="20" customHeight="1" s="30">
      <c r="A13" s="16" t="n"/>
      <c r="B13" s="17" t="inlineStr">
        <is>
          <t>1.8</t>
        </is>
      </c>
      <c r="C13" s="18" t="inlineStr">
        <is>
          <t>수집 자료 전처리·학습 데이터</t>
        </is>
      </c>
      <c r="D13" s="18" t="inlineStr">
        <is>
          <t>최지용</t>
        </is>
      </c>
      <c r="E13" s="44" t="n">
        <v>46288</v>
      </c>
      <c r="F13" s="44" t="n">
        <v>46289</v>
      </c>
      <c r="G13" s="20">
        <f>F13-E13+1</f>
        <v/>
      </c>
      <c r="H13" s="21" t="n">
        <v>1</v>
      </c>
      <c r="I13" s="22" t="inlineStr">
        <is>
          <t>결측·제외 규칙 적용</t>
        </is>
      </c>
      <c r="J13" s="23" t="inlineStr">
        <is>
          <t>처리코드</t>
        </is>
      </c>
      <c r="K13" s="23" t="inlineStr">
        <is>
          <t>데이터기록</t>
        </is>
      </c>
      <c r="L13" s="28" t="inlineStr">
        <is>
          <t>1.5 이후</t>
        </is>
      </c>
    </row>
    <row r="14" outlineLevel="1" ht="20" customHeight="1" s="30">
      <c r="A14" s="16" t="n"/>
      <c r="B14" s="17" t="inlineStr">
        <is>
          <t>1.9</t>
        </is>
      </c>
      <c r="C14" s="18" t="inlineStr">
        <is>
          <t>기준 모델 작성</t>
        </is>
      </c>
      <c r="D14" s="18" t="inlineStr">
        <is>
          <t>최지용</t>
        </is>
      </c>
      <c r="E14" s="44" t="n">
        <v>46288</v>
      </c>
      <c r="F14" s="44" t="n">
        <v>46290</v>
      </c>
      <c r="G14" s="20">
        <f>F14-E14+1</f>
        <v/>
      </c>
      <c r="H14" s="21" t="n">
        <v>1</v>
      </c>
      <c r="I14" s="22" t="inlineStr">
        <is>
          <t>기준 오차 산출</t>
        </is>
      </c>
      <c r="J14" s="23" t="inlineStr">
        <is>
          <t>기준모델</t>
        </is>
      </c>
      <c r="K14" s="23" t="inlineStr">
        <is>
          <t>모델평가</t>
        </is>
      </c>
      <c r="L14" s="28" t="inlineStr">
        <is>
          <t>CSV 평균·지금 승객</t>
        </is>
      </c>
    </row>
    <row r="15" outlineLevel="1" ht="20" customHeight="1" s="30">
      <c r="A15" s="16" t="n"/>
      <c r="B15" s="17" t="inlineStr">
        <is>
          <t>1.10</t>
        </is>
      </c>
      <c r="C15" s="18" t="inlineStr">
        <is>
          <t>클릭 시제품 제작·검토</t>
        </is>
      </c>
      <c r="D15" s="18" t="inlineStr">
        <is>
          <t>서재현</t>
        </is>
      </c>
      <c r="E15" s="44" t="n">
        <v>46286</v>
      </c>
      <c r="F15" s="44" t="n">
        <v>46289</v>
      </c>
      <c r="G15" s="20">
        <f>F15-E15+1</f>
        <v/>
      </c>
      <c r="H15" s="21" t="n">
        <v>1</v>
      </c>
      <c r="I15" s="22" t="inlineStr">
        <is>
          <t>입력·보류 흐름 시연</t>
        </is>
      </c>
      <c r="J15" s="23" t="inlineStr">
        <is>
          <t>시제품</t>
        </is>
      </c>
      <c r="K15" s="23" t="inlineStr">
        <is>
          <t>예측조건</t>
        </is>
      </c>
      <c r="L15" s="28" t="inlineStr">
        <is>
          <t>1.6 이후</t>
        </is>
      </c>
    </row>
    <row r="16" outlineLevel="1" ht="20" customHeight="1" s="30">
      <c r="A16" s="16" t="n"/>
      <c r="B16" s="17" t="inlineStr">
        <is>
          <t>1.11</t>
        </is>
      </c>
      <c r="C16" s="18" t="inlineStr">
        <is>
          <t>시스템·API 명세 설계</t>
        </is>
      </c>
      <c r="D16" s="18" t="inlineStr">
        <is>
          <t>유민준</t>
        </is>
      </c>
      <c r="E16" s="44" t="n">
        <v>46288</v>
      </c>
      <c r="F16" s="44" t="n">
        <v>46289</v>
      </c>
      <c r="G16" s="20">
        <f>F16-E16+1</f>
        <v/>
      </c>
      <c r="H16" s="21" t="n">
        <v>1</v>
      </c>
      <c r="I16" s="22" t="inlineStr">
        <is>
          <t>조회·추론 계약 합의</t>
        </is>
      </c>
      <c r="J16" s="23" t="inlineStr">
        <is>
          <t>API명세</t>
        </is>
      </c>
      <c r="K16" s="23" t="inlineStr">
        <is>
          <t>도착조회</t>
        </is>
      </c>
      <c r="L16" s="28" t="inlineStr">
        <is>
          <t>1.2·1.6 후</t>
        </is>
      </c>
    </row>
    <row r="17" outlineLevel="1" ht="20" customHeight="1" s="30">
      <c r="A17" s="16" t="n"/>
      <c r="B17" s="17" t="inlineStr">
        <is>
          <t>1.12</t>
        </is>
      </c>
      <c r="C17" s="18" t="inlineStr">
        <is>
          <t>Sprint #1 리뷰·회고</t>
        </is>
      </c>
      <c r="D17" s="18" t="inlineStr">
        <is>
          <t>황정원</t>
        </is>
      </c>
      <c r="E17" s="44" t="n">
        <v>46290</v>
      </c>
      <c r="F17" s="44" t="n">
        <v>46290</v>
      </c>
      <c r="G17" s="20">
        <f>F17-E17+1</f>
        <v/>
      </c>
      <c r="H17" s="21" t="n">
        <v>1</v>
      </c>
      <c r="I17" s="22" t="inlineStr">
        <is>
          <t>결과 검토·개선 선정</t>
        </is>
      </c>
      <c r="J17" s="23" t="inlineStr">
        <is>
          <t>회고록</t>
        </is>
      </c>
      <c r="K17" s="23" t="inlineStr">
        <is>
          <t>공통</t>
        </is>
      </c>
      <c r="L17" s="28" t="inlineStr">
        <is>
          <t>전원 참여</t>
        </is>
      </c>
    </row>
    <row r="18" ht="25" customHeight="1" s="30">
      <c r="A18" s="10" t="n"/>
      <c r="B18" s="11" t="inlineStr">
        <is>
          <t>2</t>
        </is>
      </c>
      <c r="C18" s="13" t="inlineStr">
        <is>
          <t>#2 시제품·개발</t>
        </is>
      </c>
      <c r="D18" s="13" t="n"/>
      <c r="E18" s="43" t="n">
        <v>46293</v>
      </c>
      <c r="F18" s="43" t="n">
        <v>46311</v>
      </c>
      <c r="G18" s="15">
        <f>F18-E18+1</f>
        <v/>
      </c>
      <c r="H18" s="26">
        <f>IF(COUNT(H19:H36)&lt;ROWS(H19:H36),"",AVERAGE(H19:H36))</f>
        <v/>
      </c>
      <c r="I18" s="27" t="inlineStr">
        <is>
          <t>연결 시제품 검증</t>
        </is>
      </c>
      <c r="J18" s="12" t="inlineStr">
        <is>
          <t>시제품</t>
        </is>
      </c>
      <c r="K18" s="12" t="inlineStr">
        <is>
          <t>개발·검증</t>
        </is>
      </c>
      <c r="L18" s="13" t="inlineStr">
        <is>
          <t>5~7주차</t>
        </is>
      </c>
    </row>
    <row r="19" outlineLevel="1" ht="20" customHeight="1" s="30">
      <c r="A19" s="16" t="n"/>
      <c r="B19" s="17" t="inlineStr">
        <is>
          <t>2.1</t>
        </is>
      </c>
      <c r="C19" s="18" t="inlineStr">
        <is>
          <t>Sprint #2 계획 조정</t>
        </is>
      </c>
      <c r="D19" s="18" t="inlineStr">
        <is>
          <t>황정원</t>
        </is>
      </c>
      <c r="E19" s="44" t="n">
        <v>46294</v>
      </c>
      <c r="F19" s="44" t="n">
        <v>46294</v>
      </c>
      <c r="G19" s="20">
        <f>F19-E19+1</f>
        <v/>
      </c>
      <c r="H19" s="21" t="n">
        <v>1</v>
      </c>
      <c r="I19" s="22" t="inlineStr">
        <is>
          <t>리뷰 반영·작업 합의</t>
        </is>
      </c>
      <c r="J19" s="23" t="inlineStr">
        <is>
          <t>작업목록</t>
        </is>
      </c>
      <c r="K19" s="23" t="inlineStr">
        <is>
          <t>공통</t>
        </is>
      </c>
      <c r="L19" s="28" t="inlineStr">
        <is>
          <t>#1 리뷰 후</t>
        </is>
      </c>
    </row>
    <row r="20" outlineLevel="1" ht="20" customHeight="1" s="30">
      <c r="A20" s="16" t="n"/>
      <c r="B20" s="17" t="inlineStr">
        <is>
          <t>2.2</t>
        </is>
      </c>
      <c r="C20" s="18" t="inlineStr">
        <is>
          <t>수집 품질 점검·운영 서버 이전</t>
        </is>
      </c>
      <c r="D20" s="18" t="inlineStr">
        <is>
          <t>최지용</t>
        </is>
      </c>
      <c r="E20" s="44" t="n">
        <v>46293</v>
      </c>
      <c r="F20" s="44" t="n">
        <v>46296</v>
      </c>
      <c r="G20" s="20">
        <f>F20-E20+1</f>
        <v/>
      </c>
      <c r="H20" s="21" t="n">
        <v>1</v>
      </c>
      <c r="I20" s="22" t="inlineStr">
        <is>
          <t>공백·오류 점검, 상시 수집</t>
        </is>
      </c>
      <c r="J20" s="23" t="inlineStr">
        <is>
          <t>수집기</t>
        </is>
      </c>
      <c r="K20" s="23" t="inlineStr">
        <is>
          <t>데이터기록</t>
        </is>
      </c>
      <c r="L20" s="28" t="inlineStr">
        <is>
          <t>버스 시간표 기준</t>
        </is>
      </c>
    </row>
    <row r="21" outlineLevel="1" ht="20" customHeight="1" s="30">
      <c r="A21" s="16" t="n"/>
      <c r="B21" s="17" t="inlineStr">
        <is>
          <t>2.3</t>
        </is>
      </c>
      <c r="C21" s="18" t="inlineStr">
        <is>
          <t>대안 모델 비교</t>
        </is>
      </c>
      <c r="D21" s="18" t="inlineStr">
        <is>
          <t>최지용</t>
        </is>
      </c>
      <c r="E21" s="44" t="n">
        <v>46294</v>
      </c>
      <c r="F21" s="44" t="n">
        <v>46295</v>
      </c>
      <c r="G21" s="20">
        <f>F21-E21+1</f>
        <v/>
      </c>
      <c r="H21" s="21" t="n">
        <v>1</v>
      </c>
      <c r="I21" s="22" t="inlineStr">
        <is>
          <t>같은 자료로 성능 비교</t>
        </is>
      </c>
      <c r="J21" s="23" t="inlineStr">
        <is>
          <t>비교결과</t>
        </is>
      </c>
      <c r="K21" s="23" t="inlineStr">
        <is>
          <t>모델평가</t>
        </is>
      </c>
      <c r="L21" s="28" t="inlineStr">
        <is>
          <t>Ridge·LGB·CB</t>
        </is>
      </c>
    </row>
    <row r="22" outlineLevel="1" ht="20" customHeight="1" s="30">
      <c r="A22" s="16" t="n"/>
      <c r="B22" s="17" t="inlineStr">
        <is>
          <t>2.4</t>
        </is>
      </c>
      <c r="C22" s="18" t="inlineStr">
        <is>
          <t>XGBoost 학습·라이트 모델</t>
        </is>
      </c>
      <c r="D22" s="18" t="inlineStr">
        <is>
          <t>최지용</t>
        </is>
      </c>
      <c r="E22" s="44" t="n">
        <v>46294</v>
      </c>
      <c r="F22" s="44" t="n">
        <v>46295</v>
      </c>
      <c r="G22" s="20">
        <f>F22-E22+1</f>
        <v/>
      </c>
      <c r="H22" s="21" t="n">
        <v>1</v>
      </c>
      <c r="I22" s="22" t="inlineStr">
        <is>
          <t>깊이 5·API 1회 피처</t>
        </is>
      </c>
      <c r="J22" s="23" t="inlineStr">
        <is>
          <t>모델</t>
        </is>
      </c>
      <c r="K22" s="23" t="inlineStr">
        <is>
          <t>탑승예측</t>
        </is>
      </c>
      <c r="L22" s="28" t="inlineStr">
        <is>
          <t>차이 ±0.03명</t>
        </is>
      </c>
    </row>
    <row r="23" outlineLevel="1" ht="20" customHeight="1" s="30">
      <c r="A23" s="16" t="n"/>
      <c r="B23" s="17" t="inlineStr">
        <is>
          <t>2.5</t>
        </is>
      </c>
      <c r="C23" s="18" t="inlineStr">
        <is>
          <t>FastAPI 조회·예측 연결</t>
        </is>
      </c>
      <c r="D23" s="18" t="inlineStr">
        <is>
          <t>황정원</t>
        </is>
      </c>
      <c r="E23" s="44" t="n">
        <v>46296</v>
      </c>
      <c r="F23" s="44" t="n">
        <v>46300</v>
      </c>
      <c r="G23" s="20">
        <f>F23-E23+1</f>
        <v/>
      </c>
      <c r="H23" s="21" t="n">
        <v>1</v>
      </c>
      <c r="I23" s="22" t="inlineStr">
        <is>
          <t>화면·모델 요청 연결</t>
        </is>
      </c>
      <c r="J23" s="23" t="inlineStr">
        <is>
          <t>API코드</t>
        </is>
      </c>
      <c r="K23" s="23" t="inlineStr">
        <is>
          <t>탑승예측</t>
        </is>
      </c>
      <c r="L23" s="28" t="inlineStr">
        <is>
          <t>백엔드 초기 구현</t>
        </is>
      </c>
    </row>
    <row r="24" outlineLevel="1" ht="20" customHeight="1" s="30">
      <c r="A24" s="16" t="n"/>
      <c r="B24" s="17" t="inlineStr">
        <is>
          <t>2.6</t>
        </is>
      </c>
      <c r="C24" s="18" t="inlineStr">
        <is>
          <t>React 입력·조회 시제품</t>
        </is>
      </c>
      <c r="D24" s="18" t="inlineStr">
        <is>
          <t>서재현</t>
        </is>
      </c>
      <c r="E24" s="44" t="n">
        <v>46294</v>
      </c>
      <c r="F24" s="44" t="n">
        <v>46300</v>
      </c>
      <c r="G24" s="20">
        <f>F24-E24+1</f>
        <v/>
      </c>
      <c r="H24" s="21" t="n">
        <v>1</v>
      </c>
      <c r="I24" s="22" t="inlineStr">
        <is>
          <t>선택·입력 시연</t>
        </is>
      </c>
      <c r="J24" s="23" t="inlineStr">
        <is>
          <t>웹시제품</t>
        </is>
      </c>
      <c r="K24" s="23" t="inlineStr">
        <is>
          <t>인원입력</t>
        </is>
      </c>
      <c r="L24" s="28" t="inlineStr">
        <is>
          <t>1.10 이후</t>
        </is>
      </c>
    </row>
    <row r="25" outlineLevel="1" ht="20" customHeight="1" s="30">
      <c r="A25" s="16" t="n"/>
      <c r="B25" s="17" t="inlineStr">
        <is>
          <t>2.7</t>
        </is>
      </c>
      <c r="C25" s="18" t="inlineStr">
        <is>
          <t>5주차 Gate Review</t>
        </is>
      </c>
      <c r="D25" s="18" t="inlineStr">
        <is>
          <t>황정원</t>
        </is>
      </c>
      <c r="E25" s="44" t="n">
        <v>46296</v>
      </c>
      <c r="F25" s="44" t="n">
        <v>46296</v>
      </c>
      <c r="G25" s="20">
        <f>F25-E25+1</f>
        <v/>
      </c>
      <c r="H25" s="21" t="n">
        <v>1</v>
      </c>
      <c r="I25" s="22" t="inlineStr">
        <is>
          <t>범위·평가 기준 확정</t>
        </is>
      </c>
      <c r="J25" s="23" t="inlineStr">
        <is>
          <t>평가계획</t>
        </is>
      </c>
      <c r="K25" s="23" t="inlineStr">
        <is>
          <t>모델평가</t>
        </is>
      </c>
      <c r="L25" s="28" t="inlineStr">
        <is>
          <t>2.4~2.6 후</t>
        </is>
      </c>
    </row>
    <row r="26" outlineLevel="1" ht="20" customHeight="1" s="30">
      <c r="A26" s="16" t="n"/>
      <c r="B26" s="17" t="inlineStr">
        <is>
          <t>2.8</t>
        </is>
      </c>
      <c r="C26" s="18" t="inlineStr">
        <is>
          <t>Git 협업·실행 환경 정비</t>
        </is>
      </c>
      <c r="D26" s="18" t="inlineStr">
        <is>
          <t>최지용</t>
        </is>
      </c>
      <c r="E26" s="44" t="n">
        <v>46295</v>
      </c>
      <c r="F26" s="44" t="n">
        <v>46296</v>
      </c>
      <c r="G26" s="20">
        <f>F26-E26+1</f>
        <v/>
      </c>
      <c r="H26" s="21" t="n">
        <v>1</v>
      </c>
      <c r="I26" s="22" t="inlineStr">
        <is>
          <t>팀원 실행 재현 확인</t>
        </is>
      </c>
      <c r="J26" s="23" t="inlineStr">
        <is>
          <t>실행안내</t>
        </is>
      </c>
      <c r="K26" s="23" t="inlineStr">
        <is>
          <t>공통</t>
        </is>
      </c>
      <c r="L26" s="28" t="inlineStr">
        <is>
          <t>사람별 브랜치</t>
        </is>
      </c>
    </row>
    <row r="27" outlineLevel="1" ht="20" customHeight="1" s="30">
      <c r="A27" s="16" t="n"/>
      <c r="B27" s="17" t="inlineStr">
        <is>
          <t>2.9</t>
        </is>
      </c>
      <c r="C27" s="18" t="inlineStr">
        <is>
          <t>DVC 데이터·실험 이력 관리</t>
        </is>
      </c>
      <c r="D27" s="18" t="inlineStr">
        <is>
          <t>최지용</t>
        </is>
      </c>
      <c r="E27" s="44" t="n">
        <v>46296</v>
      </c>
      <c r="F27" s="44" t="n">
        <v>46296</v>
      </c>
      <c r="G27" s="20">
        <f>F27-E27+1</f>
        <v/>
      </c>
      <c r="H27" s="21" t="n">
        <v>1</v>
      </c>
      <c r="I27" s="22" t="inlineStr">
        <is>
          <t>데이터·모델 버전 연결</t>
        </is>
      </c>
      <c r="J27" s="23" t="inlineStr">
        <is>
          <t>버전기록</t>
        </is>
      </c>
      <c r="K27" s="23" t="inlineStr">
        <is>
          <t>데이터기록</t>
        </is>
      </c>
      <c r="L27" s="28" t="inlineStr">
        <is>
          <t>2.8 이후</t>
        </is>
      </c>
    </row>
    <row r="28" outlineLevel="1" ht="20" customHeight="1" s="30">
      <c r="A28" s="16" t="n"/>
      <c r="B28" s="17" t="inlineStr">
        <is>
          <t>2.10</t>
        </is>
      </c>
      <c r="C28" s="18" t="inlineStr">
        <is>
          <t>자동 재학습·합격 판정</t>
        </is>
      </c>
      <c r="D28" s="18" t="inlineStr">
        <is>
          <t>최지용</t>
        </is>
      </c>
      <c r="E28" s="44" t="n">
        <v>46296</v>
      </c>
      <c r="F28" s="44" t="n">
        <v>46300</v>
      </c>
      <c r="G28" s="20">
        <f>F28-E28+1</f>
        <v/>
      </c>
      <c r="H28" s="21" t="n">
        <v>1</v>
      </c>
      <c r="I28" s="22" t="inlineStr">
        <is>
          <t>매일 채점·재학습·교체</t>
        </is>
      </c>
      <c r="J28" s="23" t="inlineStr">
        <is>
          <t>운영코드</t>
        </is>
      </c>
      <c r="K28" s="23" t="inlineStr">
        <is>
          <t>모델평가</t>
        </is>
      </c>
      <c r="L28" s="28" t="inlineStr">
        <is>
          <t>매일 01:00</t>
        </is>
      </c>
    </row>
    <row r="29" outlineLevel="1" ht="20" customHeight="1" s="30">
      <c r="A29" s="16" t="n"/>
      <c r="B29" s="17" t="inlineStr">
        <is>
          <t>2.11</t>
        </is>
      </c>
      <c r="C29" s="18" t="inlineStr">
        <is>
          <t>시연 피드백·입력 UI 개선</t>
        </is>
      </c>
      <c r="D29" s="18" t="inlineStr">
        <is>
          <t>서재현</t>
        </is>
      </c>
      <c r="E29" s="44" t="n">
        <v>46300</v>
      </c>
      <c r="F29" s="44" t="n">
        <v>46301</v>
      </c>
      <c r="G29" s="20">
        <f>F29-E29+1</f>
        <v/>
      </c>
      <c r="H29" s="21" t="n">
        <v>1</v>
      </c>
      <c r="I29" s="22" t="inlineStr">
        <is>
          <t>피드백·오입력 처리</t>
        </is>
      </c>
      <c r="J29" s="23" t="inlineStr">
        <is>
          <t>개선화면</t>
        </is>
      </c>
      <c r="K29" s="23" t="inlineStr">
        <is>
          <t>인원입력</t>
        </is>
      </c>
      <c r="L29" s="28" t="inlineStr">
        <is>
          <t>2.7 이후</t>
        </is>
      </c>
    </row>
    <row r="30" outlineLevel="1" ht="20" customHeight="1" s="30">
      <c r="A30" s="16" t="n"/>
      <c r="B30" s="17" t="inlineStr">
        <is>
          <t>2.12</t>
        </is>
      </c>
      <c r="C30" s="18" t="inlineStr">
        <is>
          <t>정보 없음·오류·보류 화면</t>
        </is>
      </c>
      <c r="D30" s="18" t="inlineStr">
        <is>
          <t>서재현</t>
        </is>
      </c>
      <c r="E30" s="44" t="n">
        <v>46302</v>
      </c>
      <c r="F30" s="44" t="n">
        <v>46303</v>
      </c>
      <c r="G30" s="20">
        <f>F30-E30+1</f>
        <v/>
      </c>
      <c r="H30" s="21" t="n">
        <v>1</v>
      </c>
      <c r="I30" s="22" t="inlineStr">
        <is>
          <t>오류·보류 상태 구분</t>
        </is>
      </c>
      <c r="J30" s="23" t="inlineStr">
        <is>
          <t>상태화면</t>
        </is>
      </c>
      <c r="K30" s="23" t="inlineStr">
        <is>
          <t>상태안내</t>
        </is>
      </c>
      <c r="L30" s="28" t="inlineStr">
        <is>
          <t>2.11 이후</t>
        </is>
      </c>
    </row>
    <row r="31" outlineLevel="1" ht="20" customHeight="1" s="30">
      <c r="A31" s="16" t="n"/>
      <c r="B31" s="17" t="inlineStr">
        <is>
          <t>2.13</t>
        </is>
      </c>
      <c r="C31" s="18" t="inlineStr">
        <is>
          <t>입력 검증·키 관리</t>
        </is>
      </c>
      <c r="D31" s="18" t="inlineStr">
        <is>
          <t>유민준</t>
        </is>
      </c>
      <c r="E31" s="44" t="n">
        <v>46302</v>
      </c>
      <c r="F31" s="44" t="n">
        <v>46303</v>
      </c>
      <c r="G31" s="20">
        <f>F31-E31+1</f>
        <v/>
      </c>
      <c r="H31" s="21" t="n">
        <v>1</v>
      </c>
      <c r="I31" s="22" t="inlineStr">
        <is>
          <t>오류 처리·키 비노출</t>
        </is>
      </c>
      <c r="J31" s="23" t="inlineStr">
        <is>
          <t>API코드</t>
        </is>
      </c>
      <c r="K31" s="23" t="inlineStr">
        <is>
          <t>상태안내</t>
        </is>
      </c>
      <c r="L31" s="28" t="inlineStr">
        <is>
          <t>2.8 이후</t>
        </is>
      </c>
    </row>
    <row r="32" outlineLevel="1" ht="20" customHeight="1" s="30">
      <c r="A32" s="16" t="n"/>
      <c r="B32" s="17" t="inlineStr">
        <is>
          <t>2.14</t>
        </is>
      </c>
      <c r="C32" s="18" t="inlineStr">
        <is>
          <t>REST 명세·예측 조건 보완</t>
        </is>
      </c>
      <c r="D32" s="18" t="inlineStr">
        <is>
          <t>유민준</t>
        </is>
      </c>
      <c r="E32" s="44" t="n">
        <v>46307</v>
      </c>
      <c r="F32" s="44" t="n">
        <v>46309</v>
      </c>
      <c r="G32" s="20">
        <f>F32-E32+1</f>
        <v/>
      </c>
      <c r="H32" s="21" t="n">
        <v>1</v>
      </c>
      <c r="I32" s="22" t="inlineStr">
        <is>
          <t>상태·유효시간 합의</t>
        </is>
      </c>
      <c r="J32" s="23" t="inlineStr">
        <is>
          <t>API명세</t>
        </is>
      </c>
      <c r="K32" s="23" t="inlineStr">
        <is>
          <t>예측조건</t>
        </is>
      </c>
      <c r="L32" s="28" t="inlineStr">
        <is>
          <t>GET /api/predict</t>
        </is>
      </c>
    </row>
    <row r="33" outlineLevel="1" ht="20" customHeight="1" s="30">
      <c r="A33" s="16" t="n"/>
      <c r="B33" s="17" t="inlineStr">
        <is>
          <t>2.15</t>
        </is>
      </c>
      <c r="C33" s="18" t="inlineStr">
        <is>
          <t>핵심 자동 테스트</t>
        </is>
      </c>
      <c r="D33" s="18" t="inlineStr">
        <is>
          <t>서재현</t>
        </is>
      </c>
      <c r="E33" s="44" t="n">
        <v>46300</v>
      </c>
      <c r="F33" s="44" t="n">
        <v>46309</v>
      </c>
      <c r="G33" s="20">
        <f>F33-E33+1</f>
        <v/>
      </c>
      <c r="H33" s="21" t="n">
        <v>1</v>
      </c>
      <c r="I33" s="22" t="inlineStr">
        <is>
          <t>정상·예외 7종</t>
        </is>
      </c>
      <c r="J33" s="23" t="inlineStr">
        <is>
          <t>시험명세</t>
        </is>
      </c>
      <c r="K33" s="23" t="inlineStr">
        <is>
          <t>공통</t>
        </is>
      </c>
      <c r="L33" s="28" t="inlineStr">
        <is>
          <t>Playwright</t>
        </is>
      </c>
    </row>
    <row r="34" outlineLevel="1" ht="20" customHeight="1" s="30">
      <c r="A34" s="16" t="n"/>
      <c r="B34" s="17" t="inlineStr">
        <is>
          <t>2.16</t>
        </is>
      </c>
      <c r="C34" s="18" t="inlineStr">
        <is>
          <t>서비스 배포·연결 점검</t>
        </is>
      </c>
      <c r="D34" s="18" t="inlineStr">
        <is>
          <t>황정원·유민준</t>
        </is>
      </c>
      <c r="E34" s="44" t="n">
        <v>46300</v>
      </c>
      <c r="F34" s="44" t="n">
        <v>46311</v>
      </c>
      <c r="G34" s="20">
        <f>F34-E34+1</f>
        <v/>
      </c>
      <c r="H34" s="21" t="n">
        <v>1</v>
      </c>
      <c r="I34" s="22" t="inlineStr">
        <is>
          <t>운영 서버 공개</t>
        </is>
      </c>
      <c r="J34" s="23" t="inlineStr">
        <is>
          <t>시제품</t>
        </is>
      </c>
      <c r="K34" s="23" t="inlineStr">
        <is>
          <t>탑승예측</t>
        </is>
      </c>
      <c r="L34" s="28" t="inlineStr">
        <is>
          <t>수집·학습과 서버 1대</t>
        </is>
      </c>
    </row>
    <row r="35" outlineLevel="1" ht="20" customHeight="1" s="30">
      <c r="A35" s="16" t="n"/>
      <c r="B35" s="17" t="inlineStr">
        <is>
          <t>2.17</t>
        </is>
      </c>
      <c r="C35" s="18" t="inlineStr">
        <is>
          <t>TRD 작성</t>
        </is>
      </c>
      <c r="D35" s="18" t="inlineStr">
        <is>
          <t>최지용</t>
        </is>
      </c>
      <c r="E35" s="44" t="n">
        <v>46308</v>
      </c>
      <c r="F35" s="44" t="n">
        <v>46309</v>
      </c>
      <c r="G35" s="20">
        <f>F35-E35+1</f>
        <v/>
      </c>
      <c r="H35" s="21" t="n">
        <v>1</v>
      </c>
      <c r="I35" s="22" t="inlineStr">
        <is>
          <t>템플릿 12개 장 작성</t>
        </is>
      </c>
      <c r="J35" s="23" t="inlineStr">
        <is>
          <t>TRD v1.0</t>
        </is>
      </c>
      <c r="K35" s="23" t="inlineStr">
        <is>
          <t>공통</t>
        </is>
      </c>
      <c r="L35" s="28" t="inlineStr">
        <is>
          <t>10/14</t>
        </is>
      </c>
    </row>
    <row r="36" ht="20" customHeight="1" s="30">
      <c r="B36" s="17" t="inlineStr">
        <is>
          <t>2.18</t>
        </is>
      </c>
      <c r="C36" s="18" t="inlineStr">
        <is>
          <t>Sprint #2 리뷰·회고</t>
        </is>
      </c>
      <c r="D36" s="18" t="inlineStr">
        <is>
          <t>황정원</t>
        </is>
      </c>
      <c r="E36" s="44" t="n">
        <v>46311</v>
      </c>
      <c r="F36" s="44" t="n">
        <v>46311</v>
      </c>
      <c r="G36" s="20">
        <f>F36-E36+1</f>
        <v/>
      </c>
      <c r="H36" s="21" t="n">
        <v>1</v>
      </c>
      <c r="I36" s="22" t="inlineStr">
        <is>
          <t>시연 검토·개선 선정</t>
        </is>
      </c>
      <c r="J36" s="23" t="inlineStr">
        <is>
          <t>회고록</t>
        </is>
      </c>
      <c r="K36" s="23" t="inlineStr">
        <is>
          <t>공통</t>
        </is>
      </c>
      <c r="L36" s="28" t="inlineStr">
        <is>
          <t>전원 참여</t>
        </is>
      </c>
    </row>
    <row r="37" ht="25" customHeight="1" s="30">
      <c r="B37" s="11" t="inlineStr">
        <is>
          <t>3</t>
        </is>
      </c>
      <c r="C37" s="13" t="inlineStr">
        <is>
          <t>#3 중간평가·통합</t>
        </is>
      </c>
      <c r="D37" s="13" t="n"/>
      <c r="E37" s="43" t="n">
        <v>46313</v>
      </c>
      <c r="F37" s="43" t="n">
        <v>46320</v>
      </c>
      <c r="G37" s="15">
        <f>F37-E37+1</f>
        <v/>
      </c>
      <c r="H37" s="26">
        <f>IF(COUNT(H38:H41)&lt;ROWS(H38:H41),"",AVERAGE(H38:H41))</f>
        <v/>
      </c>
      <c r="I37" s="27" t="inlineStr">
        <is>
          <t>중간발표·팀 저장소 통합</t>
        </is>
      </c>
      <c r="J37" s="12" t="inlineStr">
        <is>
          <t>발표자료</t>
        </is>
      </c>
      <c r="K37" s="12" t="inlineStr">
        <is>
          <t>공통</t>
        </is>
      </c>
      <c r="L37" s="13" t="inlineStr">
        <is>
          <t>8주차</t>
        </is>
      </c>
    </row>
    <row r="38" ht="20" customHeight="1" s="30">
      <c r="B38" s="17" t="inlineStr">
        <is>
          <t>3.1</t>
        </is>
      </c>
      <c r="C38" s="18" t="inlineStr">
        <is>
          <t>운영 점검·학습 시간 단축</t>
        </is>
      </c>
      <c r="D38" s="18" t="inlineStr">
        <is>
          <t>최지용</t>
        </is>
      </c>
      <c r="E38" s="44" t="n">
        <v>46313</v>
      </c>
      <c r="F38" s="44" t="n">
        <v>46314</v>
      </c>
      <c r="G38" s="20">
        <f>F38-E38+1</f>
        <v/>
      </c>
      <c r="H38" s="21" t="n">
        <v>1</v>
      </c>
      <c r="I38" s="22" t="inlineStr">
        <is>
          <t>새 모델 즉시 반영</t>
        </is>
      </c>
      <c r="J38" s="23" t="inlineStr">
        <is>
          <t>운영코드</t>
        </is>
      </c>
      <c r="K38" s="23" t="inlineStr">
        <is>
          <t>모델평가</t>
        </is>
      </c>
      <c r="L38" s="28" t="inlineStr">
        <is>
          <t>마감 123→67~108분</t>
        </is>
      </c>
    </row>
    <row r="39" ht="20" customHeight="1" s="30">
      <c r="B39" s="17" t="inlineStr">
        <is>
          <t>3.2</t>
        </is>
      </c>
      <c r="C39" s="18" t="inlineStr">
        <is>
          <t>팀 저장소 통합·작업 브랜치</t>
        </is>
      </c>
      <c r="D39" s="18" t="inlineStr">
        <is>
          <t>황정원</t>
        </is>
      </c>
      <c r="E39" s="44" t="n">
        <v>46314</v>
      </c>
      <c r="F39" s="44" t="n">
        <v>46314</v>
      </c>
      <c r="G39" s="20">
        <f>F39-E39+1</f>
        <v/>
      </c>
      <c r="H39" s="21" t="n">
        <v>1</v>
      </c>
      <c r="I39" s="22" t="inlineStr">
        <is>
          <t>서버 스냅샷 검증</t>
        </is>
      </c>
      <c r="J39" s="23" t="inlineStr">
        <is>
          <t>저장소</t>
        </is>
      </c>
      <c r="K39" s="23" t="inlineStr">
        <is>
          <t>공통</t>
        </is>
      </c>
      <c r="L39" s="28" t="inlineStr">
        <is>
          <t>브랜치 4개</t>
        </is>
      </c>
    </row>
    <row r="40" ht="20" customHeight="1" s="30">
      <c r="B40" s="17" t="inlineStr">
        <is>
          <t>3.3</t>
        </is>
      </c>
      <c r="C40" s="18" t="inlineStr">
        <is>
          <t>중간발표</t>
        </is>
      </c>
      <c r="D40" s="18" t="inlineStr">
        <is>
          <t>황정원</t>
        </is>
      </c>
      <c r="E40" s="44" t="n">
        <v>46316</v>
      </c>
      <c r="F40" s="44" t="n">
        <v>46316</v>
      </c>
      <c r="G40" s="20">
        <f>F40-E40+1</f>
        <v/>
      </c>
      <c r="H40" s="21" t="n">
        <v>1</v>
      </c>
      <c r="I40" s="22" t="inlineStr">
        <is>
          <t>발표·질의응답</t>
        </is>
      </c>
      <c r="J40" s="23" t="inlineStr">
        <is>
          <t>발표자료</t>
        </is>
      </c>
      <c r="K40" s="23" t="inlineStr">
        <is>
          <t>공통</t>
        </is>
      </c>
      <c r="L40" s="28" t="inlineStr">
        <is>
          <t>전원 참여</t>
        </is>
      </c>
    </row>
    <row r="41" ht="20" customHeight="1" s="30">
      <c r="B41" s="17" t="inlineStr">
        <is>
          <t>3.4</t>
        </is>
      </c>
      <c r="C41" s="18" t="inlineStr">
        <is>
          <t>시험 기간 예측 성능 확인</t>
        </is>
      </c>
      <c r="D41" s="18" t="inlineStr">
        <is>
          <t>최지용</t>
        </is>
      </c>
      <c r="E41" s="44" t="n">
        <v>46314</v>
      </c>
      <c r="F41" s="44" t="n">
        <v>46319</v>
      </c>
      <c r="G41" s="20">
        <f>F41-E41+1</f>
        <v/>
      </c>
      <c r="H41" s="21" t="n">
        <v>1</v>
      </c>
      <c r="I41" s="22" t="inlineStr">
        <is>
          <t>중간고사 주간 오차 확인</t>
        </is>
      </c>
      <c r="J41" s="23" t="inlineStr">
        <is>
          <t>성적표</t>
        </is>
      </c>
      <c r="K41" s="23" t="inlineStr">
        <is>
          <t>모델평가</t>
        </is>
      </c>
      <c r="L41" s="28" t="inlineStr">
        <is>
          <t>평일 오차 2.5명</t>
        </is>
      </c>
    </row>
    <row r="42" ht="25" customHeight="1" s="30">
      <c r="B42" s="11" t="inlineStr">
        <is>
          <t>4</t>
        </is>
      </c>
      <c r="C42" s="13" t="inlineStr">
        <is>
          <t>#4 고도화·기록</t>
        </is>
      </c>
      <c r="D42" s="13" t="n"/>
      <c r="E42" s="43" t="n">
        <v>46321</v>
      </c>
      <c r="F42" s="43" t="n">
        <v>46334</v>
      </c>
      <c r="G42" s="15">
        <f>F42-E42+1</f>
        <v/>
      </c>
      <c r="H42" s="26">
        <f>IF(COUNT(H43:H55)&lt;ROWS(H43:H55),"",AVERAGE(H43:H55))</f>
        <v/>
      </c>
      <c r="I42" s="27" t="inlineStr">
        <is>
          <t>기록·보안 기능 완성</t>
        </is>
      </c>
      <c r="J42" s="12" t="inlineStr">
        <is>
          <t>개선본</t>
        </is>
      </c>
      <c r="K42" s="12" t="inlineStr">
        <is>
          <t>개발·검증</t>
        </is>
      </c>
      <c r="L42" s="13" t="inlineStr">
        <is>
          <t>9~10주차</t>
        </is>
      </c>
    </row>
    <row r="43" ht="20" customHeight="1" s="30">
      <c r="B43" s="17" t="inlineStr">
        <is>
          <t>4.1</t>
        </is>
      </c>
      <c r="C43" s="18" t="inlineStr">
        <is>
          <t>README 현행화</t>
        </is>
      </c>
      <c r="D43" s="18" t="inlineStr">
        <is>
          <t>황정원</t>
        </is>
      </c>
      <c r="E43" s="44" t="n">
        <v>46321</v>
      </c>
      <c r="F43" s="44" t="n">
        <v>46322</v>
      </c>
      <c r="G43" s="20">
        <f>F43-E43+1</f>
        <v/>
      </c>
      <c r="H43" s="21" t="n">
        <v>1</v>
      </c>
      <c r="I43" s="22" t="inlineStr">
        <is>
          <t>Charter v1.1 반영</t>
        </is>
      </c>
      <c r="J43" s="23" t="inlineStr">
        <is>
          <t>README</t>
        </is>
      </c>
      <c r="K43" s="23" t="inlineStr">
        <is>
          <t>공통</t>
        </is>
      </c>
      <c r="L43" s="28" t="inlineStr">
        <is>
          <t>PR #1·#2</t>
        </is>
      </c>
    </row>
    <row r="44" ht="20" customHeight="1" s="30">
      <c r="B44" s="17" t="inlineStr">
        <is>
          <t>4.2</t>
        </is>
      </c>
      <c r="C44" s="18" t="inlineStr">
        <is>
          <t>PRD·WBS·마일스톤 현행화</t>
        </is>
      </c>
      <c r="D44" s="18" t="inlineStr">
        <is>
          <t>최지용</t>
        </is>
      </c>
      <c r="E44" s="44" t="n">
        <v>46323</v>
      </c>
      <c r="F44" s="44" t="n">
        <v>46325</v>
      </c>
      <c r="G44" s="20">
        <f>F44-E44+1</f>
        <v/>
      </c>
      <c r="H44" s="21" t="n"/>
      <c r="I44" s="22" t="inlineStr">
        <is>
          <t>13주 완료 일정 반영</t>
        </is>
      </c>
      <c r="J44" s="23" t="inlineStr">
        <is>
          <t>문서 v1.1</t>
        </is>
      </c>
      <c r="K44" s="23" t="inlineStr">
        <is>
          <t>공통</t>
        </is>
      </c>
      <c r="L44" s="28" t="inlineStr">
        <is>
          <t>황정원 검토</t>
        </is>
      </c>
    </row>
    <row r="45" ht="20" customHeight="1" s="30">
      <c r="B45" s="17" t="inlineStr">
        <is>
          <t>4.3</t>
        </is>
      </c>
      <c r="C45" s="18" t="inlineStr">
        <is>
          <t>빈 결과·상태 안내 보완</t>
        </is>
      </c>
      <c r="D45" s="18" t="inlineStr">
        <is>
          <t>황정원</t>
        </is>
      </c>
      <c r="E45" s="44" t="n">
        <v>46321</v>
      </c>
      <c r="F45" s="44" t="n">
        <v>46325</v>
      </c>
      <c r="G45" s="20">
        <f>F45-E45+1</f>
        <v/>
      </c>
      <c r="H45" s="21" t="n"/>
      <c r="I45" s="22" t="inlineStr">
        <is>
          <t>운행 종료·수집 오류 구분</t>
        </is>
      </c>
      <c r="J45" s="23" t="inlineStr">
        <is>
          <t>상태화면</t>
        </is>
      </c>
      <c r="K45" s="23" t="inlineStr">
        <is>
          <t>상태안내</t>
        </is>
      </c>
      <c r="L45" s="28" t="inlineStr">
        <is>
          <t>fe/status-guidance</t>
        </is>
      </c>
    </row>
    <row r="46" ht="20" customHeight="1" s="30">
      <c r="B46" s="17" t="inlineStr">
        <is>
          <t>4.4</t>
        </is>
      </c>
      <c r="C46" s="18" t="inlineStr">
        <is>
          <t>화면 사용성 개선</t>
        </is>
      </c>
      <c r="D46" s="18" t="inlineStr">
        <is>
          <t>서재현</t>
        </is>
      </c>
      <c r="E46" s="44" t="n">
        <v>46321</v>
      </c>
      <c r="F46" s="44" t="n">
        <v>46332</v>
      </c>
      <c r="G46" s="20">
        <f>F46-E46+1</f>
        <v/>
      </c>
      <c r="H46" s="21" t="n"/>
      <c r="I46" s="22" t="inlineStr">
        <is>
          <t>입력·결과 화면 개선</t>
        </is>
      </c>
      <c r="J46" s="23" t="inlineStr">
        <is>
          <t>개선화면</t>
        </is>
      </c>
      <c r="K46" s="23" t="inlineStr">
        <is>
          <t>인원입력</t>
        </is>
      </c>
      <c r="L46" s="28" t="inlineStr">
        <is>
          <t>fe/ui-improvement</t>
        </is>
      </c>
    </row>
    <row r="47" ht="20" customHeight="1" s="30">
      <c r="B47" s="17" t="inlineStr">
        <is>
          <t>4.5</t>
        </is>
      </c>
      <c r="C47" s="18" t="inlineStr">
        <is>
          <t>최신 화면 전체 재시험</t>
        </is>
      </c>
      <c r="D47" s="18" t="inlineStr">
        <is>
          <t>서재현</t>
        </is>
      </c>
      <c r="E47" s="44" t="n">
        <v>46324</v>
      </c>
      <c r="F47" s="44" t="n">
        <v>46325</v>
      </c>
      <c r="G47" s="20">
        <f>F47-E47+1</f>
        <v/>
      </c>
      <c r="H47" s="21" t="n"/>
      <c r="I47" s="22" t="inlineStr">
        <is>
          <t>정상·예외 E2E 통과</t>
        </is>
      </c>
      <c r="J47" s="23" t="inlineStr">
        <is>
          <t>시험결과</t>
        </is>
      </c>
      <c r="K47" s="23" t="inlineStr">
        <is>
          <t>공통</t>
        </is>
      </c>
      <c r="L47" s="28" t="inlineStr">
        <is>
          <t>4.3 이후</t>
        </is>
      </c>
    </row>
    <row r="48" ht="20" customHeight="1" s="30">
      <c r="B48" s="17" t="inlineStr">
        <is>
          <t>4.6</t>
        </is>
      </c>
      <c r="C48" s="18" t="inlineStr">
        <is>
          <t>예측 개선·보류 점검</t>
        </is>
      </c>
      <c r="D48" s="18" t="inlineStr">
        <is>
          <t>최지용</t>
        </is>
      </c>
      <c r="E48" s="44" t="n">
        <v>46321</v>
      </c>
      <c r="F48" s="44" t="n">
        <v>46330</v>
      </c>
      <c r="G48" s="20">
        <f>F48-E48+1</f>
        <v/>
      </c>
      <c r="H48" s="21" t="n"/>
      <c r="I48" s="22" t="inlineStr">
        <is>
          <t>같은 조건 비교로 확인</t>
        </is>
      </c>
      <c r="J48" s="23" t="inlineStr">
        <is>
          <t>비교결과</t>
        </is>
      </c>
      <c r="K48" s="23" t="inlineStr">
        <is>
          <t>탑승예측</t>
        </is>
      </c>
      <c r="L48" s="28" t="inlineStr">
        <is>
          <t>ai/prediction-improvement</t>
        </is>
      </c>
    </row>
    <row r="49" ht="20" customHeight="1" s="30">
      <c r="B49" s="17" t="inlineStr">
        <is>
          <t>4.7</t>
        </is>
      </c>
      <c r="C49" s="18" t="inlineStr">
        <is>
          <t>참여 동의·보관기간 결정</t>
        </is>
      </c>
      <c r="D49" s="18" t="inlineStr">
        <is>
          <t>황정원</t>
        </is>
      </c>
      <c r="E49" s="44" t="n">
        <v>46324</v>
      </c>
      <c r="F49" s="44" t="n">
        <v>46326</v>
      </c>
      <c r="G49" s="20">
        <f>F49-E49+1</f>
        <v/>
      </c>
      <c r="H49" s="21" t="n"/>
      <c r="I49" s="22" t="inlineStr">
        <is>
          <t>동의문·보관기간 확정</t>
        </is>
      </c>
      <c r="J49" s="23" t="inlineStr">
        <is>
          <t>기록규칙</t>
        </is>
      </c>
      <c r="K49" s="23" t="inlineStr">
        <is>
          <t>데이터기록</t>
        </is>
      </c>
      <c r="L49" s="28" t="inlineStr">
        <is>
          <t>10주→9주</t>
        </is>
      </c>
    </row>
    <row r="50" ht="20" customHeight="1" s="30">
      <c r="B50" s="17" t="inlineStr">
        <is>
          <t>4.8</t>
        </is>
      </c>
      <c r="C50" s="18" t="inlineStr">
        <is>
          <t>프로젝트 라이선스 결정</t>
        </is>
      </c>
      <c r="D50" s="18" t="inlineStr">
        <is>
          <t>유민준</t>
        </is>
      </c>
      <c r="E50" s="44" t="n">
        <v>46324</v>
      </c>
      <c r="F50" s="44" t="n">
        <v>46326</v>
      </c>
      <c r="G50" s="20">
        <f>F50-E50+1</f>
        <v/>
      </c>
      <c r="H50" s="21" t="n"/>
      <c r="I50" s="22" t="inlineStr">
        <is>
          <t>LICENSE 파일 추가</t>
        </is>
      </c>
      <c r="J50" s="23" t="inlineStr">
        <is>
          <t>LICENSE</t>
        </is>
      </c>
      <c r="K50" s="23" t="inlineStr">
        <is>
          <t>공통</t>
        </is>
      </c>
      <c r="L50" s="28" t="inlineStr">
        <is>
          <t>OSS 표 정리</t>
        </is>
      </c>
    </row>
    <row r="51" ht="20" customHeight="1" s="30">
      <c r="B51" s="17" t="inlineStr">
        <is>
          <t>4.9</t>
        </is>
      </c>
      <c r="C51" s="18" t="inlineStr">
        <is>
          <t>익명 탑승 결과 기록 기능</t>
        </is>
      </c>
      <c r="D51" s="18" t="inlineStr">
        <is>
          <t>유민준</t>
        </is>
      </c>
      <c r="E51" s="44" t="n">
        <v>46328</v>
      </c>
      <c r="F51" s="44" t="n">
        <v>46332</v>
      </c>
      <c r="G51" s="20">
        <f>F51-E51+1</f>
        <v/>
      </c>
      <c r="H51" s="21" t="n"/>
      <c r="I51" s="22" t="inlineStr">
        <is>
          <t>기록 API·화면·저장</t>
        </is>
      </c>
      <c r="J51" s="23" t="inlineStr">
        <is>
          <t>API코드</t>
        </is>
      </c>
      <c r="K51" s="23" t="inlineStr">
        <is>
          <t>데이터기록</t>
        </is>
      </c>
      <c r="L51" s="28" t="inlineStr">
        <is>
          <t>be/boarding-record</t>
        </is>
      </c>
    </row>
    <row r="52" ht="20" customHeight="1" s="30">
      <c r="B52" s="17" t="inlineStr">
        <is>
          <t>4.10</t>
        </is>
      </c>
      <c r="C52" s="18" t="inlineStr">
        <is>
          <t>평가용 고정 모델 보관</t>
        </is>
      </c>
      <c r="D52" s="18" t="inlineStr">
        <is>
          <t>최지용</t>
        </is>
      </c>
      <c r="E52" s="44" t="n">
        <v>46331</v>
      </c>
      <c r="F52" s="44" t="n">
        <v>46332</v>
      </c>
      <c r="G52" s="20">
        <f>F52-E52+1</f>
        <v/>
      </c>
      <c r="H52" s="21" t="n"/>
      <c r="I52" s="22" t="inlineStr">
        <is>
          <t>모델·자료 버전 고정</t>
        </is>
      </c>
      <c r="J52" s="23" t="inlineStr">
        <is>
          <t>모델버전</t>
        </is>
      </c>
      <c r="K52" s="23" t="inlineStr">
        <is>
          <t>모델평가</t>
        </is>
      </c>
      <c r="L52" s="28" t="inlineStr">
        <is>
          <t>현장 평가용</t>
        </is>
      </c>
    </row>
    <row r="53" ht="20" customHeight="1" s="30">
      <c r="B53" s="17" t="inlineStr">
        <is>
          <t>4.11</t>
        </is>
      </c>
      <c r="C53" s="18" t="inlineStr">
        <is>
          <t>HTTPS·접근 설정</t>
        </is>
      </c>
      <c r="D53" s="18" t="inlineStr">
        <is>
          <t>유민준</t>
        </is>
      </c>
      <c r="E53" s="44" t="n">
        <v>46330</v>
      </c>
      <c r="F53" s="44" t="n">
        <v>46334</v>
      </c>
      <c r="G53" s="20">
        <f>F53-E53+1</f>
        <v/>
      </c>
      <c r="H53" s="21" t="n"/>
      <c r="I53" s="22" t="inlineStr">
        <is>
          <t>HTTPS 적용</t>
        </is>
      </c>
      <c r="J53" s="23" t="inlineStr">
        <is>
          <t>배포설정</t>
        </is>
      </c>
      <c r="K53" s="23" t="inlineStr">
        <is>
          <t>공통</t>
        </is>
      </c>
      <c r="L53" s="28" t="inlineStr">
        <is>
          <t>12주→10주</t>
        </is>
      </c>
    </row>
    <row r="54" ht="20" customHeight="1" s="30">
      <c r="B54" s="17" t="inlineStr">
        <is>
          <t>4.12</t>
        </is>
      </c>
      <c r="C54" s="18" t="inlineStr">
        <is>
          <t>현장 관측 계획·관측표</t>
        </is>
      </c>
      <c r="D54" s="18" t="inlineStr">
        <is>
          <t>황정원</t>
        </is>
      </c>
      <c r="E54" s="44" t="n">
        <v>46328</v>
      </c>
      <c r="F54" s="44" t="n">
        <v>46332</v>
      </c>
      <c r="G54" s="20">
        <f>F54-E54+1</f>
        <v/>
      </c>
      <c r="H54" s="21" t="n"/>
      <c r="I54" s="22" t="inlineStr">
        <is>
          <t>시간·인원·기록표 확정</t>
        </is>
      </c>
      <c r="J54" s="23" t="inlineStr">
        <is>
          <t>관측계획</t>
        </is>
      </c>
      <c r="K54" s="23" t="inlineStr">
        <is>
          <t>데이터기록</t>
        </is>
      </c>
      <c r="L54" s="28" t="inlineStr">
        <is>
          <t>최지용 지원</t>
        </is>
      </c>
    </row>
    <row r="55" ht="20" customHeight="1" s="30">
      <c r="B55" s="17" t="inlineStr">
        <is>
          <t>4.13</t>
        </is>
      </c>
      <c r="C55" s="18" t="inlineStr">
        <is>
          <t>Sprint #4 리뷰</t>
        </is>
      </c>
      <c r="D55" s="18" t="inlineStr">
        <is>
          <t>황정원</t>
        </is>
      </c>
      <c r="E55" s="44" t="n">
        <v>46333</v>
      </c>
      <c r="F55" s="44" t="n">
        <v>46333</v>
      </c>
      <c r="G55" s="20">
        <f>F55-E55+1</f>
        <v/>
      </c>
      <c r="H55" s="21" t="n"/>
      <c r="I55" s="22" t="inlineStr">
        <is>
          <t>결과 검토·개선 선정</t>
        </is>
      </c>
      <c r="J55" s="23" t="inlineStr">
        <is>
          <t>회고록</t>
        </is>
      </c>
      <c r="K55" s="23" t="inlineStr">
        <is>
          <t>공통</t>
        </is>
      </c>
      <c r="L55" s="28" t="inlineStr">
        <is>
          <t>전원 참여</t>
        </is>
      </c>
    </row>
    <row r="56" ht="25" customHeight="1" s="30">
      <c r="B56" s="11" t="inlineStr">
        <is>
          <t>5</t>
        </is>
      </c>
      <c r="C56" s="13" t="inlineStr">
        <is>
          <t>#5 현장 평가·완료</t>
        </is>
      </c>
      <c r="D56" s="13" t="n"/>
      <c r="E56" s="43" t="n">
        <v>46335</v>
      </c>
      <c r="F56" s="43" t="n">
        <v>46355</v>
      </c>
      <c r="G56" s="15">
        <f>F56-E56+1</f>
        <v/>
      </c>
      <c r="H56" s="26">
        <f>IF(COUNT(H57:H67)&lt;ROWS(H57:H67),"",AVERAGE(H57:H67))</f>
        <v/>
      </c>
      <c r="I56" s="27" t="inlineStr">
        <is>
          <t>평가 완료·최종 제출물</t>
        </is>
      </c>
      <c r="J56" s="12" t="inlineStr">
        <is>
          <t>최종본</t>
        </is>
      </c>
      <c r="K56" s="12" t="inlineStr">
        <is>
          <t>평가·제출</t>
        </is>
      </c>
      <c r="L56" s="13" t="inlineStr">
        <is>
          <t>11~13주차</t>
        </is>
      </c>
    </row>
    <row r="57" ht="20" customHeight="1" s="30">
      <c r="B57" s="17" t="inlineStr">
        <is>
          <t>5.1</t>
        </is>
      </c>
      <c r="C57" s="18" t="inlineStr">
        <is>
          <t>실제 탑승 현장 관측</t>
        </is>
      </c>
      <c r="D57" s="18" t="inlineStr">
        <is>
          <t>최지용</t>
        </is>
      </c>
      <c r="E57" s="44" t="n">
        <v>46335</v>
      </c>
      <c r="F57" s="44" t="n">
        <v>46346</v>
      </c>
      <c r="G57" s="20">
        <f>F57-E57+1</f>
        <v/>
      </c>
      <c r="H57" s="21" t="n"/>
      <c r="I57" s="22" t="inlineStr">
        <is>
          <t>예측·실제 탑승 연결 기록</t>
        </is>
      </c>
      <c r="J57" s="23" t="inlineStr">
        <is>
          <t>관측자료</t>
        </is>
      </c>
      <c r="K57" s="23" t="inlineStr">
        <is>
          <t>모델평가</t>
        </is>
      </c>
      <c r="L57" s="28" t="inlineStr">
        <is>
          <t>전원 지원</t>
        </is>
      </c>
    </row>
    <row r="58" ht="20" customHeight="1" s="30">
      <c r="B58" s="17" t="inlineStr">
        <is>
          <t>5.2</t>
        </is>
      </c>
      <c r="C58" s="18" t="inlineStr">
        <is>
          <t>통합·응답 성능 시험</t>
        </is>
      </c>
      <c r="D58" s="18" t="inlineStr">
        <is>
          <t>유민준</t>
        </is>
      </c>
      <c r="E58" s="44" t="n">
        <v>46335</v>
      </c>
      <c r="F58" s="44" t="n">
        <v>46339</v>
      </c>
      <c r="G58" s="20">
        <f>F58-E58+1</f>
        <v/>
      </c>
      <c r="H58" s="21" t="n"/>
      <c r="I58" s="22" t="inlineStr">
        <is>
          <t>동시 접속·응답 시간 확인</t>
        </is>
      </c>
      <c r="J58" s="23" t="inlineStr">
        <is>
          <t>시험결과</t>
        </is>
      </c>
      <c r="K58" s="23" t="inlineStr">
        <is>
          <t>공통</t>
        </is>
      </c>
      <c r="L58" s="28" t="inlineStr">
        <is>
          <t>서재현 지원</t>
        </is>
      </c>
    </row>
    <row r="59" ht="20" customHeight="1" s="30">
      <c r="B59" s="17" t="inlineStr">
        <is>
          <t>5.3</t>
        </is>
      </c>
      <c r="C59" s="18" t="inlineStr">
        <is>
          <t>복구 검증</t>
        </is>
      </c>
      <c r="D59" s="18" t="inlineStr">
        <is>
          <t>유민준</t>
        </is>
      </c>
      <c r="E59" s="44" t="n">
        <v>46338</v>
      </c>
      <c r="F59" s="44" t="n">
        <v>46339</v>
      </c>
      <c r="G59" s="20">
        <f>F59-E59+1</f>
        <v/>
      </c>
      <c r="H59" s="21" t="n"/>
      <c r="I59" s="22" t="inlineStr">
        <is>
          <t>재시작·되돌리기 확인</t>
        </is>
      </c>
      <c r="J59" s="23" t="inlineStr">
        <is>
          <t>점검표</t>
        </is>
      </c>
      <c r="K59" s="23" t="inlineStr">
        <is>
          <t>공통</t>
        </is>
      </c>
      <c r="L59" s="28" t="inlineStr">
        <is>
          <t>5.2 이후</t>
        </is>
      </c>
    </row>
    <row r="60" ht="20" customHeight="1" s="30">
      <c r="B60" s="17" t="inlineStr">
        <is>
          <t>5.4</t>
        </is>
      </c>
      <c r="C60" s="18" t="inlineStr">
        <is>
          <t>이용 불편 개선</t>
        </is>
      </c>
      <c r="D60" s="18" t="inlineStr">
        <is>
          <t>서재현</t>
        </is>
      </c>
      <c r="E60" s="44" t="n">
        <v>46336</v>
      </c>
      <c r="F60" s="44" t="n">
        <v>46340</v>
      </c>
      <c r="G60" s="20">
        <f>F60-E60+1</f>
        <v/>
      </c>
      <c r="H60" s="21" t="n"/>
      <c r="I60" s="22" t="inlineStr">
        <is>
          <t>현장 피드백 반영</t>
        </is>
      </c>
      <c r="J60" s="23" t="inlineStr">
        <is>
          <t>개선화면</t>
        </is>
      </c>
      <c r="K60" s="23" t="inlineStr">
        <is>
          <t>상태안내</t>
        </is>
      </c>
      <c r="L60" s="28" t="inlineStr">
        <is>
          <t>12주→11주</t>
        </is>
      </c>
    </row>
    <row r="61" ht="20" customHeight="1" s="30">
      <c r="B61" s="17" t="inlineStr">
        <is>
          <t>5.5</t>
        </is>
      </c>
      <c r="C61" s="18" t="inlineStr">
        <is>
          <t>동일 자료로 모델 비교</t>
        </is>
      </c>
      <c r="D61" s="18" t="inlineStr">
        <is>
          <t>최지용</t>
        </is>
      </c>
      <c r="E61" s="44" t="n">
        <v>46342</v>
      </c>
      <c r="F61" s="44" t="n">
        <v>46346</v>
      </c>
      <c r="G61" s="20">
        <f>F61-E61+1</f>
        <v/>
      </c>
      <c r="H61" s="21" t="n"/>
      <c r="I61" s="22" t="inlineStr">
        <is>
          <t>기준 대비 오차·확률 신뢰성</t>
        </is>
      </c>
      <c r="J61" s="23" t="inlineStr">
        <is>
          <t>비교결과</t>
        </is>
      </c>
      <c r="K61" s="23" t="inlineStr">
        <is>
          <t>모델평가</t>
        </is>
      </c>
      <c r="L61" s="28" t="inlineStr">
        <is>
          <t>13주→12주</t>
        </is>
      </c>
    </row>
    <row r="62" ht="20" customHeight="1" s="30">
      <c r="B62" s="17" t="inlineStr">
        <is>
          <t>5.6</t>
        </is>
      </c>
      <c r="C62" s="18" t="inlineStr">
        <is>
          <t>학생 10명 이상 사용자 평가</t>
        </is>
      </c>
      <c r="D62" s="18" t="inlineStr">
        <is>
          <t>황정원</t>
        </is>
      </c>
      <c r="E62" s="44" t="n">
        <v>46342</v>
      </c>
      <c r="F62" s="44" t="n">
        <v>46347</v>
      </c>
      <c r="G62" s="20">
        <f>F62-E62+1</f>
        <v/>
      </c>
      <c r="H62" s="21" t="n"/>
      <c r="I62" s="22" t="inlineStr">
        <is>
          <t>만족도 평균 4.0/5.0 확인</t>
        </is>
      </c>
      <c r="J62" s="23" t="inlineStr">
        <is>
          <t>평가결과</t>
        </is>
      </c>
      <c r="K62" s="23" t="inlineStr">
        <is>
          <t>모델평가</t>
        </is>
      </c>
      <c r="L62" s="28" t="inlineStr">
        <is>
          <t>전원 참여</t>
        </is>
      </c>
    </row>
    <row r="63" ht="20" customHeight="1" s="30">
      <c r="B63" s="17" t="inlineStr">
        <is>
          <t>5.7</t>
        </is>
      </c>
      <c r="C63" s="18" t="inlineStr">
        <is>
          <t>피드백·오류 반영</t>
        </is>
      </c>
      <c r="D63" s="18" t="inlineStr">
        <is>
          <t>서재현</t>
        </is>
      </c>
      <c r="E63" s="44" t="n">
        <v>46349</v>
      </c>
      <c r="F63" s="44" t="n">
        <v>46352</v>
      </c>
      <c r="G63" s="20">
        <f>F63-E63+1</f>
        <v/>
      </c>
      <c r="H63" s="21" t="n"/>
      <c r="I63" s="22" t="inlineStr">
        <is>
          <t>치명적 오류 0건</t>
        </is>
      </c>
      <c r="J63" s="23" t="inlineStr">
        <is>
          <t>수정본</t>
        </is>
      </c>
      <c r="K63" s="23" t="inlineStr">
        <is>
          <t>공통</t>
        </is>
      </c>
      <c r="L63" s="28" t="inlineStr">
        <is>
          <t>유민준 지원</t>
        </is>
      </c>
    </row>
    <row r="64" ht="20" customHeight="1" s="30">
      <c r="B64" s="17" t="inlineStr">
        <is>
          <t>5.8</t>
        </is>
      </c>
      <c r="C64" s="18" t="inlineStr">
        <is>
          <t>보안·OSS·실행 문서 점검</t>
        </is>
      </c>
      <c r="D64" s="18" t="inlineStr">
        <is>
          <t>유민준</t>
        </is>
      </c>
      <c r="E64" s="44" t="n">
        <v>46349</v>
      </c>
      <c r="F64" s="44" t="n">
        <v>46351</v>
      </c>
      <c r="G64" s="20">
        <f>F64-E64+1</f>
        <v/>
      </c>
      <c r="H64" s="21" t="n"/>
      <c r="I64" s="22" t="inlineStr">
        <is>
          <t>키 비노출·라이선스 확인</t>
        </is>
      </c>
      <c r="J64" s="23" t="inlineStr">
        <is>
          <t>점검표</t>
        </is>
      </c>
      <c r="K64" s="23" t="inlineStr">
        <is>
          <t>공통</t>
        </is>
      </c>
      <c r="L64" s="28" t="inlineStr">
        <is>
          <t>14주→13주</t>
        </is>
      </c>
    </row>
    <row r="65" ht="20" customHeight="1" s="30">
      <c r="B65" s="17" t="inlineStr">
        <is>
          <t>5.9</t>
        </is>
      </c>
      <c r="C65" s="18" t="inlineStr">
        <is>
          <t>현장 성능 평가 정리</t>
        </is>
      </c>
      <c r="D65" s="18" t="inlineStr">
        <is>
          <t>최지용</t>
        </is>
      </c>
      <c r="E65" s="44" t="n">
        <v>46349</v>
      </c>
      <c r="F65" s="44" t="n">
        <v>46351</v>
      </c>
      <c r="G65" s="20">
        <f>F65-E65+1</f>
        <v/>
      </c>
      <c r="H65" s="21" t="n"/>
      <c r="I65" s="22" t="inlineStr">
        <is>
          <t>달성·미달·미완료 구분</t>
        </is>
      </c>
      <c r="J65" s="23" t="inlineStr">
        <is>
          <t>평가서</t>
        </is>
      </c>
      <c r="K65" s="23" t="inlineStr">
        <is>
          <t>모델평가</t>
        </is>
      </c>
      <c r="L65" s="28" t="inlineStr">
        <is>
          <t>5.1·5.5 이후</t>
        </is>
      </c>
    </row>
    <row r="66" ht="20" customHeight="1" s="30">
      <c r="B66" s="17" t="inlineStr">
        <is>
          <t>5.10</t>
        </is>
      </c>
      <c r="C66" s="18" t="inlineStr">
        <is>
          <t>최종 시연·발표 자료 완성</t>
        </is>
      </c>
      <c r="D66" s="18" t="inlineStr">
        <is>
          <t>황정원</t>
        </is>
      </c>
      <c r="E66" s="44" t="n">
        <v>46350</v>
      </c>
      <c r="F66" s="44" t="n">
        <v>46354</v>
      </c>
      <c r="G66" s="20">
        <f>F66-E66+1</f>
        <v/>
      </c>
      <c r="H66" s="21" t="n"/>
      <c r="I66" s="22" t="inlineStr">
        <is>
          <t>발표자료·문서 완성</t>
        </is>
      </c>
      <c r="J66" s="23" t="inlineStr">
        <is>
          <t>최종본</t>
        </is>
      </c>
      <c r="K66" s="23" t="inlineStr">
        <is>
          <t>공통</t>
        </is>
      </c>
      <c r="L66" s="28" t="inlineStr">
        <is>
          <t>전원 참여</t>
        </is>
      </c>
    </row>
    <row r="67" ht="20" customHeight="1" s="30">
      <c r="B67" s="17" t="inlineStr">
        <is>
          <t>5.11</t>
        </is>
      </c>
      <c r="C67" s="18" t="inlineStr">
        <is>
          <t>최종 리뷰·회고</t>
        </is>
      </c>
      <c r="D67" s="18" t="inlineStr">
        <is>
          <t>황정원</t>
        </is>
      </c>
      <c r="E67" s="44" t="n">
        <v>46354</v>
      </c>
      <c r="F67" s="44" t="n">
        <v>46354</v>
      </c>
      <c r="G67" s="20">
        <f>F67-E67+1</f>
        <v/>
      </c>
      <c r="H67" s="21" t="n"/>
      <c r="I67" s="22" t="inlineStr">
        <is>
          <t>결과 정리·회고</t>
        </is>
      </c>
      <c r="J67" s="23" t="inlineStr">
        <is>
          <t>회고록</t>
        </is>
      </c>
      <c r="K67" s="23" t="inlineStr">
        <is>
          <t>공통</t>
        </is>
      </c>
      <c r="L67" s="28" t="inlineStr">
        <is>
          <t>13주 완료</t>
        </is>
      </c>
    </row>
    <row r="68" ht="25" customHeight="1" s="30">
      <c r="B68" s="11" t="inlineStr">
        <is>
          <t>6</t>
        </is>
      </c>
      <c r="C68" s="13" t="inlineStr">
        <is>
          <t>#6 예비</t>
        </is>
      </c>
      <c r="D68" s="13" t="n"/>
      <c r="E68" s="43" t="n">
        <v>46356</v>
      </c>
      <c r="F68" s="43" t="n">
        <v>46369</v>
      </c>
      <c r="G68" s="15">
        <f>F68-E68+1</f>
        <v/>
      </c>
      <c r="H68" s="26" t="n"/>
      <c r="I68" s="27" t="inlineStr">
        <is>
          <t>일정 지연 대비</t>
        </is>
      </c>
      <c r="J68" s="12" t="n"/>
      <c r="K68" s="12" t="inlineStr">
        <is>
          <t>공통</t>
        </is>
      </c>
      <c r="L68" s="13" t="inlineStr">
        <is>
          <t>14~15주차, 최종 발표는 수업 일정</t>
        </is>
      </c>
    </row>
    <row r="69"/>
  </sheetData>
  <mergeCells count="8">
    <mergeCell ref="J2:L2"/>
    <mergeCell ref="B2:C2"/>
    <mergeCell ref="D3:G3"/>
    <mergeCell ref="I1:L1"/>
    <mergeCell ref="B3:C3"/>
    <mergeCell ref="B1:G1"/>
    <mergeCell ref="D2:G2"/>
    <mergeCell ref="J3:L3"/>
  </mergeCells>
  <conditionalFormatting sqref="H5:H68">
    <cfRule type="colorScale" priority="1">
      <colorScale>
        <cfvo type="min"/>
        <cfvo type="max"/>
        <color rgb="FFFFFFFF"/>
        <color rgb="FF3C78D8"/>
      </colorScale>
    </cfRule>
  </conditionalFormatting>
  <conditionalFormatting sqref="H6:H17 H19:H36 H38:H41 H43:H55 H57:H67"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2026-09-21T13:18:32Z</dcterms:created>
  <dcterms:modified xmlns:dcterms="http://purl.org/dc/terms/" xmlns:xsi="http://www.w3.org/2001/XMLSchema-instance" xsi:type="dcterms:W3CDTF">2026-10-28T07:54:58Z</dcterms:modified>
  <cp:lastModifiedBy>HwangJeongwon</cp:lastModifiedBy>
</cp:coreProperties>
</file>