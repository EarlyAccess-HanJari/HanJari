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w11\Downloads\"/>
    </mc:Choice>
  </mc:AlternateContent>
  <xr:revisionPtr revIDLastSave="0" documentId="13_ncr:1_{4938E35E-F8D6-46F2-9BEA-950C696277E5}" xr6:coauthVersionLast="47" xr6:coauthVersionMax="47" xr10:uidLastSave="{00000000-0000-0000-0000-000000000000}"/>
  <bookViews>
    <workbookView xWindow="10530" yWindow="8460" windowWidth="23200" windowHeight="13140" xr2:uid="{00000000-000D-0000-FFFF-FFFF00000000}"/>
  </bookViews>
  <sheets>
    <sheet name="갠트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29" i="1"/>
  <c r="G28" i="1"/>
  <c r="G27" i="1"/>
  <c r="G26" i="1"/>
  <c r="G24" i="1"/>
  <c r="G23" i="1"/>
  <c r="G22" i="1"/>
  <c r="G21" i="1"/>
  <c r="G20" i="1"/>
  <c r="G19" i="1"/>
  <c r="H18" i="1"/>
  <c r="G17" i="1"/>
  <c r="G16" i="1"/>
  <c r="G15" i="1"/>
  <c r="G14" i="1"/>
  <c r="G12" i="1"/>
  <c r="G11" i="1"/>
  <c r="G10" i="1"/>
  <c r="G9" i="1"/>
  <c r="G8" i="1"/>
  <c r="G7" i="1"/>
  <c r="G6" i="1"/>
  <c r="G35" i="1"/>
  <c r="G34" i="1"/>
  <c r="G33" i="1"/>
  <c r="G32" i="1"/>
  <c r="G31" i="1"/>
  <c r="G30" i="1"/>
  <c r="G25" i="1"/>
  <c r="G18" i="1"/>
  <c r="G13" i="1"/>
  <c r="G5" i="1"/>
</calcChain>
</file>

<file path=xl/sharedStrings.xml><?xml version="1.0" encoding="utf-8"?>
<sst xmlns="http://schemas.openxmlformats.org/spreadsheetml/2006/main" count="234" uniqueCount="174">
  <si>
    <t>WBS</t>
  </si>
  <si>
    <t>프로젝트 이름</t>
  </si>
  <si>
    <t>조명</t>
  </si>
  <si>
    <t>프로젝트 관리자</t>
  </si>
  <si>
    <t>날짜</t>
  </si>
  <si>
    <t>NO</t>
  </si>
  <si>
    <t>작업 제목</t>
  </si>
  <si>
    <t>작업자</t>
  </si>
  <si>
    <t>시작일</t>
  </si>
  <si>
    <t>종료일</t>
  </si>
  <si>
    <t>기간</t>
  </si>
  <si>
    <t>완료
비율</t>
  </si>
  <si>
    <t>완료조건</t>
  </si>
  <si>
    <t>산출물</t>
  </si>
  <si>
    <t>Epic(요구기능)</t>
  </si>
  <si>
    <t>기타</t>
  </si>
  <si>
    <t>한자리</t>
  </si>
  <si>
    <t>얼리액세스</t>
  </si>
  <si>
    <t>황정원</t>
  </si>
  <si>
    <t>1</t>
  </si>
  <si>
    <t>#1 관측·설계</t>
  </si>
  <si>
    <t>관측·설계 결과 합의</t>
  </si>
  <si>
    <t>설계초안</t>
  </si>
  <si>
    <t>관측·설계</t>
  </si>
  <si>
    <t>3~4주차</t>
  </si>
  <si>
    <t>1.1</t>
  </si>
  <si>
    <t>범위·스프린트 계획 정리</t>
  </si>
  <si>
    <t>등·하교 범위 합의</t>
  </si>
  <si>
    <t>기획서</t>
  </si>
  <si>
    <t>공통</t>
  </si>
  <si>
    <t>양쪽 정류장</t>
  </si>
  <si>
    <t>1.2</t>
  </si>
  <si>
    <t>양쪽 정류장 API 확인</t>
  </si>
  <si>
    <t>유민준</t>
  </si>
  <si>
    <t>양쪽 실응답 확인</t>
  </si>
  <si>
    <t>점검표</t>
  </si>
  <si>
    <t>도착조회</t>
  </si>
  <si>
    <t>1.1 이후</t>
  </si>
  <si>
    <t>1.3</t>
  </si>
  <si>
    <t>정답·익명 기록 규칙 설계</t>
  </si>
  <si>
    <t>최지용</t>
  </si>
  <si>
    <t>성공·실패 기준 합의</t>
  </si>
  <si>
    <t>관측명세</t>
  </si>
  <si>
    <t>데이터기록</t>
  </si>
  <si>
    <t>1.4</t>
  </si>
  <si>
    <t>관측 목표·교대표 확정</t>
  </si>
  <si>
    <t>수집 목표·인력 합의</t>
  </si>
  <si>
    <t>교대표</t>
  </si>
  <si>
    <t>시범자료 확인</t>
  </si>
  <si>
    <t>1.5</t>
  </si>
  <si>
    <t>등·하교 정규 관측</t>
  </si>
  <si>
    <t>조회·탑승 결과 연결</t>
  </si>
  <si>
    <t>관측자료</t>
  </si>
  <si>
    <t>전원 지원</t>
  </si>
  <si>
    <t>1.6</t>
  </si>
  <si>
    <t>화면·사용 흐름 설계</t>
  </si>
  <si>
    <t>서재현</t>
  </si>
  <si>
    <t>선택·입력 흐름 합의</t>
  </si>
  <si>
    <t>화면설계</t>
  </si>
  <si>
    <t>인원입력</t>
  </si>
  <si>
    <t>정류장·방향</t>
  </si>
  <si>
    <t>1.7</t>
  </si>
  <si>
    <t>OSS 후보 3종 비교</t>
  </si>
  <si>
    <t>후보별 선정 근거 정리</t>
  </si>
  <si>
    <t>OSS표</t>
  </si>
  <si>
    <t>모델평가</t>
  </si>
  <si>
    <t>1.8</t>
  </si>
  <si>
    <t>관측 데이터 전처리</t>
  </si>
  <si>
    <t>결측·제외 규칙 적용</t>
  </si>
  <si>
    <t>처리코드</t>
  </si>
  <si>
    <t>1.5 중간자료</t>
  </si>
  <si>
    <t>1.9</t>
  </si>
  <si>
    <t>평균·시간대 기준 모델 작성</t>
  </si>
  <si>
    <t>기준 성공률 산출</t>
  </si>
  <si>
    <t>기준모델</t>
  </si>
  <si>
    <t>1.8 이후</t>
  </si>
  <si>
    <t>1.10</t>
  </si>
  <si>
    <t>클릭 시제품 제작·검토</t>
  </si>
  <si>
    <t>입력·보류 흐름 시연</t>
  </si>
  <si>
    <t>시제품</t>
  </si>
  <si>
    <t>예측조건</t>
  </si>
  <si>
    <t>1.6 이후</t>
  </si>
  <si>
    <t>1.11</t>
  </si>
  <si>
    <t>시스템·API 명세 설계</t>
  </si>
  <si>
    <t>조회·추론 계약 합의</t>
  </si>
  <si>
    <t>API명세</t>
  </si>
  <si>
    <t>1.2·1.6 후</t>
  </si>
  <si>
    <t>1.12</t>
  </si>
  <si>
    <t>Sprint #1 리뷰·회고</t>
  </si>
  <si>
    <t>결과 검토·개선 선정</t>
  </si>
  <si>
    <t>회고록</t>
  </si>
  <si>
    <t>전원 참여</t>
  </si>
  <si>
    <t>2</t>
  </si>
  <si>
    <t>#2 시제품·개발</t>
  </si>
  <si>
    <t>연결 시제품 검증</t>
  </si>
  <si>
    <t>개발·검증</t>
  </si>
  <si>
    <t>잠정 계획</t>
  </si>
  <si>
    <t>2.1</t>
  </si>
  <si>
    <t>Sprint #2 계획 조정</t>
  </si>
  <si>
    <t>리뷰 반영·작업 합의</t>
  </si>
  <si>
    <t>작업목록</t>
  </si>
  <si>
    <t>#1 리뷰 후</t>
  </si>
  <si>
    <t>2.2</t>
  </si>
  <si>
    <t>정규 관측·정답 품질 점검</t>
  </si>
  <si>
    <t>수집량·제외율 확인</t>
  </si>
  <si>
    <t>2.3</t>
  </si>
  <si>
    <t>로지스틱 회귀 기준 학습</t>
  </si>
  <si>
    <t>날짜 분할 학습 실행</t>
  </si>
  <si>
    <t>1.8·2.1 후</t>
  </si>
  <si>
    <t>2.4</t>
  </si>
  <si>
    <t>XGBoost 초기 학습·비교</t>
  </si>
  <si>
    <t>동일 자료로 성능 비교</t>
  </si>
  <si>
    <t>비교결과</t>
  </si>
  <si>
    <t>탑승예측</t>
  </si>
  <si>
    <t>2.3 이후</t>
  </si>
  <si>
    <t>2.5</t>
  </si>
  <si>
    <t>FastAPI 조회·예측 연결</t>
  </si>
  <si>
    <t>화면·모델 요청 연결</t>
  </si>
  <si>
    <t>API코드</t>
  </si>
  <si>
    <t>모델연결 2.4 후</t>
  </si>
  <si>
    <t>2.6</t>
  </si>
  <si>
    <t>React 입력·조회 시제품</t>
  </si>
  <si>
    <t>양쪽 선택·입력 시연</t>
  </si>
  <si>
    <t>웹시제품</t>
  </si>
  <si>
    <t>1.10 이후</t>
  </si>
  <si>
    <t>2.7</t>
  </si>
  <si>
    <t>5주차 Gate Review</t>
  </si>
  <si>
    <t>범위·평가 기준 확정</t>
  </si>
  <si>
    <t>평가계획</t>
  </si>
  <si>
    <t>2.4~2.6 후</t>
  </si>
  <si>
    <t>2.8</t>
  </si>
  <si>
    <t>Git 협업·실행 환경 정비</t>
  </si>
  <si>
    <t>팀원 실행 재현 확인</t>
  </si>
  <si>
    <t>실행안내</t>
  </si>
  <si>
    <t>2.7 이후</t>
  </si>
  <si>
    <t>2.9</t>
  </si>
  <si>
    <t>DVC 데이터·실험 이력 관리</t>
  </si>
  <si>
    <t>데이터·모델 버전 연결</t>
  </si>
  <si>
    <t>버전기록</t>
  </si>
  <si>
    <t>2.8 이후</t>
  </si>
  <si>
    <t>2.10</t>
  </si>
  <si>
    <t>시연 피드백·입력 UI 개선</t>
  </si>
  <si>
    <t>피드백·오입력 처리</t>
  </si>
  <si>
    <t>개선화면</t>
  </si>
  <si>
    <t>2.11</t>
  </si>
  <si>
    <t>정보 없음·오류·보류 화면</t>
  </si>
  <si>
    <t>오류·보류 상태 구분</t>
  </si>
  <si>
    <t>상태화면</t>
  </si>
  <si>
    <t>상태안내</t>
  </si>
  <si>
    <t>2.10 이후</t>
  </si>
  <si>
    <t>2.12</t>
  </si>
  <si>
    <t>캐시·입력 검증·키 관리</t>
  </si>
  <si>
    <t>오류 처리·키 비노출</t>
  </si>
  <si>
    <t>2.13</t>
  </si>
  <si>
    <t>XGBoost 추가 학습·보정 검토</t>
  </si>
  <si>
    <t>기준 비교·보정 판단</t>
  </si>
  <si>
    <t>2.9 이후</t>
  </si>
  <si>
    <t>2.14</t>
  </si>
  <si>
    <t>REST 명세·예측 조건 보완</t>
  </si>
  <si>
    <t>상태·유효시간 합의</t>
  </si>
  <si>
    <t>2.11·2.12 후</t>
  </si>
  <si>
    <t>2.15</t>
  </si>
  <si>
    <t>핵심 자동 테스트 설계</t>
  </si>
  <si>
    <t>정상·예외 항목 정리</t>
  </si>
  <si>
    <t>시험명세</t>
  </si>
  <si>
    <t>2.11 이후</t>
  </si>
  <si>
    <t>2.16</t>
  </si>
  <si>
    <t>연결 시제품 점검·수정</t>
  </si>
  <si>
    <t>핵심 흐름 재시험 통과</t>
  </si>
  <si>
    <t>서재현 지원</t>
  </si>
  <si>
    <t>2.17</t>
  </si>
  <si>
    <t>Sprint #2 리뷰·회고</t>
  </si>
  <si>
    <t>시연 검토·개선 선정</t>
  </si>
  <si>
    <t>XGB·LGB·CB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</si>
</sst>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m&quot;. &quot;d"/>
  </numFmts>
  <fonts count="2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b/>
      <sz val="10"/>
      <color rgb="FF666666"/>
      <name val="Roboto"/>
    </font>
    <font>
      <i/>
      <sz val="10"/>
      <color rgb="FF980000"/>
      <name val="Roboto"/>
    </font>
    <font>
      <sz val="10"/>
      <color rgb="FF999999"/>
      <name val="Roboto"/>
    </font>
    <font>
      <sz val="11"/>
      <color rgb="FF000000"/>
      <name val="Roboto"/>
    </font>
    <font>
      <b/>
      <sz val="10"/>
      <color rgb="FF000000"/>
      <name val="Roboto"/>
    </font>
    <font>
      <sz val="11"/>
      <name val="Roboto"/>
    </font>
    <font>
      <b/>
      <sz val="11"/>
      <color rgb="FF000000"/>
      <name val="Roboto"/>
    </font>
    <font>
      <b/>
      <i/>
      <sz val="11"/>
      <color rgb="FF434343"/>
      <name val="Roboto"/>
    </font>
    <font>
      <i/>
      <sz val="11"/>
      <color rgb="FF980000"/>
      <name val="Roboto"/>
    </font>
    <font>
      <sz val="10"/>
      <name val="Roboto"/>
    </font>
    <font>
      <sz val="10"/>
      <color rgb="FF434343"/>
      <name val="Roboto"/>
    </font>
    <font>
      <i/>
      <sz val="10"/>
      <color rgb="FFCC0000"/>
      <name val="Roboto"/>
    </font>
    <font>
      <i/>
      <sz val="10"/>
      <color rgb="FF434343"/>
      <name val="Roboto"/>
    </font>
    <font>
      <sz val="8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3C79E"/>
        <bgColor rgb="FF73C79E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 wrapText="1"/>
    </xf>
    <xf numFmtId="177" fontId="12" fillId="4" borderId="3" xfId="0" applyNumberFormat="1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177" fontId="17" fillId="0" borderId="3" xfId="0" applyNumberFormat="1" applyFont="1" applyBorder="1" applyAlignment="1">
      <alignment horizontal="right" vertical="center" wrapText="1"/>
    </xf>
    <xf numFmtId="0" fontId="18" fillId="0" borderId="3" xfId="0" applyFont="1" applyBorder="1" applyAlignment="1">
      <alignment horizontal="center" vertical="center" wrapText="1"/>
    </xf>
    <xf numFmtId="9" fontId="16" fillId="0" borderId="3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177" fontId="7" fillId="0" borderId="3" xfId="0" applyNumberFormat="1" applyFont="1" applyBorder="1" applyAlignment="1">
      <alignment horizontal="right" vertical="center" wrapText="1"/>
    </xf>
    <xf numFmtId="9" fontId="12" fillId="4" borderId="3" xfId="0" applyNumberFormat="1" applyFont="1" applyFill="1" applyBorder="1" applyAlignment="1">
      <alignment horizontal="right" vertical="center" wrapText="1"/>
    </xf>
    <xf numFmtId="0" fontId="14" fillId="4" borderId="3" xfId="0" applyFont="1" applyFill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vertical="center"/>
    </xf>
    <xf numFmtId="176" fontId="7" fillId="0" borderId="2" xfId="0" applyNumberFormat="1" applyFont="1" applyBorder="1" applyAlignment="1">
      <alignment horizontal="left" vertical="center"/>
    </xf>
    <xf numFmtId="0" fontId="3" fillId="0" borderId="2" xfId="0" applyFont="1" applyBorder="1"/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L45"/>
  <sheetViews>
    <sheetView showGridLines="0" tabSelected="1" workbookViewId="0">
      <selection activeCell="I12" sqref="I12"/>
    </sheetView>
  </sheetViews>
  <sheetFormatPr defaultColWidth="12.6328125" defaultRowHeight="15.75" customHeight="1" outlineLevelRow="1" x14ac:dyDescent="0.25"/>
  <cols>
    <col min="1" max="1" width="3" customWidth="1"/>
    <col min="2" max="2" width="7.36328125" customWidth="1"/>
    <col min="3" max="3" width="27.7265625" customWidth="1"/>
    <col min="4" max="4" width="12.08984375" customWidth="1"/>
    <col min="5" max="6" width="12.453125" customWidth="1"/>
    <col min="7" max="7" width="8.6328125" hidden="1" customWidth="1"/>
    <col min="8" max="8" width="5" customWidth="1"/>
    <col min="9" max="9" width="21.26953125" customWidth="1"/>
    <col min="10" max="10" width="9" customWidth="1"/>
    <col min="11" max="11" width="12.90625" customWidth="1"/>
    <col min="12" max="12" width="10.08984375" customWidth="1"/>
  </cols>
  <sheetData>
    <row r="1" spans="1:12" ht="21" customHeight="1" x14ac:dyDescent="0.25">
      <c r="A1" s="1"/>
      <c r="B1" s="34" t="s">
        <v>0</v>
      </c>
      <c r="C1" s="35"/>
      <c r="D1" s="35"/>
      <c r="E1" s="35"/>
      <c r="F1" s="35"/>
      <c r="G1" s="35"/>
      <c r="H1" s="2"/>
      <c r="I1" s="36"/>
      <c r="J1" s="35"/>
      <c r="K1" s="35"/>
      <c r="L1" s="35"/>
    </row>
    <row r="2" spans="1:12" ht="21" customHeight="1" x14ac:dyDescent="0.25">
      <c r="A2" s="1"/>
      <c r="B2" s="37" t="s">
        <v>1</v>
      </c>
      <c r="C2" s="33"/>
      <c r="D2" s="38" t="s">
        <v>16</v>
      </c>
      <c r="E2" s="33"/>
      <c r="F2" s="33"/>
      <c r="G2" s="33"/>
      <c r="H2" s="4"/>
      <c r="I2" s="3" t="s">
        <v>2</v>
      </c>
      <c r="J2" s="39" t="s">
        <v>17</v>
      </c>
      <c r="K2" s="33"/>
      <c r="L2" s="33"/>
    </row>
    <row r="3" spans="1:12" ht="21" customHeight="1" x14ac:dyDescent="0.25">
      <c r="A3" s="1"/>
      <c r="B3" s="29" t="s">
        <v>3</v>
      </c>
      <c r="C3" s="30"/>
      <c r="D3" s="31" t="s">
        <v>18</v>
      </c>
      <c r="E3" s="30"/>
      <c r="F3" s="30"/>
      <c r="G3" s="30"/>
      <c r="H3" s="6"/>
      <c r="I3" s="5" t="s">
        <v>4</v>
      </c>
      <c r="J3" s="32">
        <v>46286</v>
      </c>
      <c r="K3" s="33"/>
      <c r="L3" s="33"/>
    </row>
    <row r="4" spans="1:12" ht="17.25" customHeight="1" x14ac:dyDescent="0.25">
      <c r="A4" s="7"/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 t="s">
        <v>13</v>
      </c>
      <c r="K4" s="9" t="s">
        <v>14</v>
      </c>
      <c r="L4" s="9" t="s">
        <v>15</v>
      </c>
    </row>
    <row r="5" spans="1:12" ht="25" customHeight="1" x14ac:dyDescent="0.25">
      <c r="A5" s="10"/>
      <c r="B5" s="11" t="s">
        <v>19</v>
      </c>
      <c r="C5" s="13" t="s">
        <v>20</v>
      </c>
      <c r="D5" s="13"/>
      <c r="E5" s="14">
        <v>46279</v>
      </c>
      <c r="F5" s="14">
        <v>46290</v>
      </c>
      <c r="G5" s="15">
        <f t="shared" ref="G5:G35" si="0">F5-E5+1</f>
        <v>12</v>
      </c>
      <c r="H5" s="26" t="str">
        <f>IF(COUNT(H6:H17)&lt;ROWS(H6:H17),"",AVERAGE(H6:H17))</f>
        <v/>
      </c>
      <c r="I5" s="27" t="s">
        <v>21</v>
      </c>
      <c r="J5" s="12" t="s">
        <v>22</v>
      </c>
      <c r="K5" s="12" t="s">
        <v>23</v>
      </c>
      <c r="L5" s="13" t="s">
        <v>24</v>
      </c>
    </row>
    <row r="6" spans="1:12" ht="20" customHeight="1" outlineLevel="1" x14ac:dyDescent="0.25">
      <c r="A6" s="16"/>
      <c r="B6" s="17" t="s">
        <v>25</v>
      </c>
      <c r="C6" s="18" t="s">
        <v>26</v>
      </c>
      <c r="D6" s="18" t="s">
        <v>18</v>
      </c>
      <c r="E6" s="19">
        <v>46279</v>
      </c>
      <c r="F6" s="19">
        <v>46279</v>
      </c>
      <c r="G6" s="20">
        <f t="shared" si="0"/>
        <v>1</v>
      </c>
      <c r="H6" s="21"/>
      <c r="I6" s="22" t="s">
        <v>27</v>
      </c>
      <c r="J6" s="23" t="s">
        <v>28</v>
      </c>
      <c r="K6" s="23" t="s">
        <v>29</v>
      </c>
      <c r="L6" s="28" t="s">
        <v>30</v>
      </c>
    </row>
    <row r="7" spans="1:12" ht="20" customHeight="1" outlineLevel="1" x14ac:dyDescent="0.25">
      <c r="A7" s="16"/>
      <c r="B7" s="17" t="s">
        <v>31</v>
      </c>
      <c r="C7" s="18" t="s">
        <v>32</v>
      </c>
      <c r="D7" s="18" t="s">
        <v>33</v>
      </c>
      <c r="E7" s="19">
        <v>46280</v>
      </c>
      <c r="F7" s="19">
        <v>46281</v>
      </c>
      <c r="G7" s="20">
        <f t="shared" si="0"/>
        <v>2</v>
      </c>
      <c r="H7" s="21"/>
      <c r="I7" s="22" t="s">
        <v>34</v>
      </c>
      <c r="J7" s="23" t="s">
        <v>35</v>
      </c>
      <c r="K7" s="23" t="s">
        <v>36</v>
      </c>
      <c r="L7" s="28" t="s">
        <v>37</v>
      </c>
    </row>
    <row r="8" spans="1:12" ht="20" customHeight="1" outlineLevel="1" x14ac:dyDescent="0.25">
      <c r="A8" s="16"/>
      <c r="B8" s="17" t="s">
        <v>38</v>
      </c>
      <c r="C8" s="18" t="s">
        <v>39</v>
      </c>
      <c r="D8" s="18" t="s">
        <v>40</v>
      </c>
      <c r="E8" s="19">
        <v>46280</v>
      </c>
      <c r="F8" s="19">
        <v>46281</v>
      </c>
      <c r="G8" s="20">
        <f t="shared" si="0"/>
        <v>2</v>
      </c>
      <c r="H8" s="21"/>
      <c r="I8" s="22" t="s">
        <v>41</v>
      </c>
      <c r="J8" s="23" t="s">
        <v>42</v>
      </c>
      <c r="K8" s="23" t="s">
        <v>43</v>
      </c>
      <c r="L8" s="28" t="s">
        <v>37</v>
      </c>
    </row>
    <row r="9" spans="1:12" ht="20" customHeight="1" outlineLevel="1" x14ac:dyDescent="0.25">
      <c r="A9" s="16"/>
      <c r="B9" s="17" t="s">
        <v>44</v>
      </c>
      <c r="C9" s="18" t="s">
        <v>45</v>
      </c>
      <c r="D9" s="18" t="s">
        <v>18</v>
      </c>
      <c r="E9" s="19">
        <v>46280</v>
      </c>
      <c r="F9" s="19">
        <v>46281</v>
      </c>
      <c r="G9" s="20">
        <f t="shared" si="0"/>
        <v>2</v>
      </c>
      <c r="H9" s="21"/>
      <c r="I9" s="22" t="s">
        <v>46</v>
      </c>
      <c r="J9" s="23" t="s">
        <v>47</v>
      </c>
      <c r="K9" s="23" t="s">
        <v>43</v>
      </c>
      <c r="L9" s="28" t="s">
        <v>48</v>
      </c>
    </row>
    <row r="10" spans="1:12" ht="20" customHeight="1" outlineLevel="1" x14ac:dyDescent="0.25">
      <c r="A10" s="16"/>
      <c r="B10" s="17" t="s">
        <v>49</v>
      </c>
      <c r="C10" s="18" t="s">
        <v>50</v>
      </c>
      <c r="D10" s="18" t="s">
        <v>40</v>
      </c>
      <c r="E10" s="19">
        <v>46280</v>
      </c>
      <c r="F10" s="19">
        <v>46289</v>
      </c>
      <c r="G10" s="20">
        <f t="shared" si="0"/>
        <v>10</v>
      </c>
      <c r="H10" s="21"/>
      <c r="I10" s="22" t="s">
        <v>51</v>
      </c>
      <c r="J10" s="23" t="s">
        <v>52</v>
      </c>
      <c r="K10" s="23" t="s">
        <v>43</v>
      </c>
      <c r="L10" s="28" t="s">
        <v>53</v>
      </c>
    </row>
    <row r="11" spans="1:12" ht="20" customHeight="1" outlineLevel="1" x14ac:dyDescent="0.25">
      <c r="A11" s="16"/>
      <c r="B11" s="17" t="s">
        <v>54</v>
      </c>
      <c r="C11" s="18" t="s">
        <v>55</v>
      </c>
      <c r="D11" s="18" t="s">
        <v>56</v>
      </c>
      <c r="E11" s="19">
        <v>46280</v>
      </c>
      <c r="F11" s="19">
        <v>46281</v>
      </c>
      <c r="G11" s="20">
        <f t="shared" si="0"/>
        <v>2</v>
      </c>
      <c r="H11" s="21"/>
      <c r="I11" s="22" t="s">
        <v>57</v>
      </c>
      <c r="J11" s="23" t="s">
        <v>58</v>
      </c>
      <c r="K11" s="23" t="s">
        <v>59</v>
      </c>
      <c r="L11" s="28" t="s">
        <v>60</v>
      </c>
    </row>
    <row r="12" spans="1:12" ht="20" customHeight="1" outlineLevel="1" x14ac:dyDescent="0.25">
      <c r="A12" s="16"/>
      <c r="B12" s="17" t="s">
        <v>61</v>
      </c>
      <c r="C12" s="18" t="s">
        <v>62</v>
      </c>
      <c r="D12" s="18" t="s">
        <v>33</v>
      </c>
      <c r="E12" s="19">
        <v>46286</v>
      </c>
      <c r="F12" s="19">
        <v>46287</v>
      </c>
      <c r="G12" s="20">
        <f t="shared" si="0"/>
        <v>2</v>
      </c>
      <c r="H12" s="21"/>
      <c r="I12" s="22" t="s">
        <v>63</v>
      </c>
      <c r="J12" s="23" t="s">
        <v>64</v>
      </c>
      <c r="K12" s="23" t="s">
        <v>65</v>
      </c>
      <c r="L12" s="28" t="s">
        <v>173</v>
      </c>
    </row>
    <row r="13" spans="1:12" ht="20" customHeight="1" outlineLevel="1" x14ac:dyDescent="0.25">
      <c r="A13" s="16"/>
      <c r="B13" s="17" t="s">
        <v>66</v>
      </c>
      <c r="C13" s="18" t="s">
        <v>67</v>
      </c>
      <c r="D13" s="18" t="s">
        <v>40</v>
      </c>
      <c r="E13" s="19">
        <v>46287</v>
      </c>
      <c r="F13" s="19">
        <v>46288</v>
      </c>
      <c r="G13" s="20">
        <f t="shared" si="0"/>
        <v>2</v>
      </c>
      <c r="H13" s="21"/>
      <c r="I13" s="22" t="s">
        <v>68</v>
      </c>
      <c r="J13" s="23" t="s">
        <v>69</v>
      </c>
      <c r="K13" s="23" t="s">
        <v>43</v>
      </c>
      <c r="L13" s="28" t="s">
        <v>70</v>
      </c>
    </row>
    <row r="14" spans="1:12" ht="20" customHeight="1" outlineLevel="1" x14ac:dyDescent="0.25">
      <c r="A14" s="16"/>
      <c r="B14" s="17" t="s">
        <v>71</v>
      </c>
      <c r="C14" s="18" t="s">
        <v>72</v>
      </c>
      <c r="D14" s="18" t="s">
        <v>40</v>
      </c>
      <c r="E14" s="19">
        <v>46289</v>
      </c>
      <c r="F14" s="19">
        <v>46290</v>
      </c>
      <c r="G14" s="20">
        <f t="shared" si="0"/>
        <v>2</v>
      </c>
      <c r="H14" s="21"/>
      <c r="I14" s="22" t="s">
        <v>73</v>
      </c>
      <c r="J14" s="23" t="s">
        <v>74</v>
      </c>
      <c r="K14" s="23" t="s">
        <v>65</v>
      </c>
      <c r="L14" s="28" t="s">
        <v>75</v>
      </c>
    </row>
    <row r="15" spans="1:12" ht="20" customHeight="1" outlineLevel="1" x14ac:dyDescent="0.25">
      <c r="A15" s="16"/>
      <c r="B15" s="17" t="s">
        <v>76</v>
      </c>
      <c r="C15" s="18" t="s">
        <v>77</v>
      </c>
      <c r="D15" s="18" t="s">
        <v>56</v>
      </c>
      <c r="E15" s="19">
        <v>46286</v>
      </c>
      <c r="F15" s="19">
        <v>46289</v>
      </c>
      <c r="G15" s="20">
        <f t="shared" si="0"/>
        <v>4</v>
      </c>
      <c r="H15" s="21"/>
      <c r="I15" s="22" t="s">
        <v>78</v>
      </c>
      <c r="J15" s="23" t="s">
        <v>79</v>
      </c>
      <c r="K15" s="23" t="s">
        <v>80</v>
      </c>
      <c r="L15" s="28" t="s">
        <v>81</v>
      </c>
    </row>
    <row r="16" spans="1:12" ht="20" customHeight="1" outlineLevel="1" x14ac:dyDescent="0.25">
      <c r="A16" s="16"/>
      <c r="B16" s="17" t="s">
        <v>82</v>
      </c>
      <c r="C16" s="18" t="s">
        <v>83</v>
      </c>
      <c r="D16" s="18" t="s">
        <v>33</v>
      </c>
      <c r="E16" s="19">
        <v>46288</v>
      </c>
      <c r="F16" s="19">
        <v>46289</v>
      </c>
      <c r="G16" s="20">
        <f t="shared" si="0"/>
        <v>2</v>
      </c>
      <c r="H16" s="21"/>
      <c r="I16" s="22" t="s">
        <v>84</v>
      </c>
      <c r="J16" s="23" t="s">
        <v>85</v>
      </c>
      <c r="K16" s="23" t="s">
        <v>36</v>
      </c>
      <c r="L16" s="28" t="s">
        <v>86</v>
      </c>
    </row>
    <row r="17" spans="1:12" ht="20" customHeight="1" outlineLevel="1" x14ac:dyDescent="0.25">
      <c r="A17" s="16"/>
      <c r="B17" s="17" t="s">
        <v>87</v>
      </c>
      <c r="C17" s="18" t="s">
        <v>88</v>
      </c>
      <c r="D17" s="18" t="s">
        <v>18</v>
      </c>
      <c r="E17" s="19">
        <v>46290</v>
      </c>
      <c r="F17" s="19">
        <v>46290</v>
      </c>
      <c r="G17" s="20">
        <f t="shared" si="0"/>
        <v>1</v>
      </c>
      <c r="H17" s="21"/>
      <c r="I17" s="22" t="s">
        <v>89</v>
      </c>
      <c r="J17" s="23" t="s">
        <v>90</v>
      </c>
      <c r="K17" s="23" t="s">
        <v>29</v>
      </c>
      <c r="L17" s="28" t="s">
        <v>91</v>
      </c>
    </row>
    <row r="18" spans="1:12" ht="25" customHeight="1" x14ac:dyDescent="0.25">
      <c r="A18" s="10"/>
      <c r="B18" s="11" t="s">
        <v>92</v>
      </c>
      <c r="C18" s="13" t="s">
        <v>93</v>
      </c>
      <c r="D18" s="13"/>
      <c r="E18" s="14">
        <v>46293</v>
      </c>
      <c r="F18" s="14">
        <v>46311</v>
      </c>
      <c r="G18" s="15">
        <f t="shared" si="0"/>
        <v>19</v>
      </c>
      <c r="H18" s="26" t="str">
        <f>IF(COUNT(H19:H35)&lt;ROWS(H19:H35),"",AVERAGE(H19:H35))</f>
        <v/>
      </c>
      <c r="I18" s="27" t="s">
        <v>94</v>
      </c>
      <c r="J18" s="12" t="s">
        <v>79</v>
      </c>
      <c r="K18" s="12" t="s">
        <v>95</v>
      </c>
      <c r="L18" s="13" t="s">
        <v>96</v>
      </c>
    </row>
    <row r="19" spans="1:12" ht="20" customHeight="1" outlineLevel="1" x14ac:dyDescent="0.25">
      <c r="A19" s="16"/>
      <c r="B19" s="17" t="s">
        <v>97</v>
      </c>
      <c r="C19" s="24" t="s">
        <v>98</v>
      </c>
      <c r="D19" s="24" t="s">
        <v>18</v>
      </c>
      <c r="E19" s="25">
        <v>46294</v>
      </c>
      <c r="F19" s="25">
        <v>46294</v>
      </c>
      <c r="G19" s="20">
        <f t="shared" si="0"/>
        <v>1</v>
      </c>
      <c r="H19" s="21"/>
      <c r="I19" s="22" t="s">
        <v>99</v>
      </c>
      <c r="J19" s="23" t="s">
        <v>100</v>
      </c>
      <c r="K19" s="23" t="s">
        <v>29</v>
      </c>
      <c r="L19" s="28" t="s">
        <v>101</v>
      </c>
    </row>
    <row r="20" spans="1:12" ht="20" customHeight="1" outlineLevel="1" x14ac:dyDescent="0.25">
      <c r="A20" s="16"/>
      <c r="B20" s="17" t="s">
        <v>102</v>
      </c>
      <c r="C20" s="24" t="s">
        <v>103</v>
      </c>
      <c r="D20" s="24" t="s">
        <v>40</v>
      </c>
      <c r="E20" s="25">
        <v>46294</v>
      </c>
      <c r="F20" s="25">
        <v>46310</v>
      </c>
      <c r="G20" s="20">
        <f t="shared" si="0"/>
        <v>17</v>
      </c>
      <c r="H20" s="21"/>
      <c r="I20" s="22" t="s">
        <v>104</v>
      </c>
      <c r="J20" s="23" t="s">
        <v>52</v>
      </c>
      <c r="K20" s="23" t="s">
        <v>43</v>
      </c>
      <c r="L20" s="28" t="s">
        <v>53</v>
      </c>
    </row>
    <row r="21" spans="1:12" ht="20" customHeight="1" outlineLevel="1" x14ac:dyDescent="0.25">
      <c r="A21" s="16"/>
      <c r="B21" s="17" t="s">
        <v>105</v>
      </c>
      <c r="C21" s="24" t="s">
        <v>106</v>
      </c>
      <c r="D21" s="24" t="s">
        <v>40</v>
      </c>
      <c r="E21" s="25">
        <v>46294</v>
      </c>
      <c r="F21" s="25">
        <v>46294</v>
      </c>
      <c r="G21" s="20">
        <f t="shared" si="0"/>
        <v>1</v>
      </c>
      <c r="H21" s="21"/>
      <c r="I21" s="22" t="s">
        <v>107</v>
      </c>
      <c r="J21" s="23" t="s">
        <v>74</v>
      </c>
      <c r="K21" s="23" t="s">
        <v>65</v>
      </c>
      <c r="L21" s="28" t="s">
        <v>108</v>
      </c>
    </row>
    <row r="22" spans="1:12" ht="20" customHeight="1" outlineLevel="1" x14ac:dyDescent="0.25">
      <c r="A22" s="16"/>
      <c r="B22" s="17" t="s">
        <v>109</v>
      </c>
      <c r="C22" s="24" t="s">
        <v>110</v>
      </c>
      <c r="D22" s="24" t="s">
        <v>40</v>
      </c>
      <c r="E22" s="25">
        <v>46295</v>
      </c>
      <c r="F22" s="25">
        <v>46295</v>
      </c>
      <c r="G22" s="20">
        <f t="shared" si="0"/>
        <v>1</v>
      </c>
      <c r="H22" s="21"/>
      <c r="I22" s="22" t="s">
        <v>111</v>
      </c>
      <c r="J22" s="23" t="s">
        <v>112</v>
      </c>
      <c r="K22" s="23" t="s">
        <v>113</v>
      </c>
      <c r="L22" s="28" t="s">
        <v>114</v>
      </c>
    </row>
    <row r="23" spans="1:12" ht="20" customHeight="1" outlineLevel="1" x14ac:dyDescent="0.25">
      <c r="A23" s="16"/>
      <c r="B23" s="17" t="s">
        <v>115</v>
      </c>
      <c r="C23" s="24" t="s">
        <v>116</v>
      </c>
      <c r="D23" s="24" t="s">
        <v>33</v>
      </c>
      <c r="E23" s="25">
        <v>46294</v>
      </c>
      <c r="F23" s="25">
        <v>46296</v>
      </c>
      <c r="G23" s="20">
        <f t="shared" si="0"/>
        <v>3</v>
      </c>
      <c r="H23" s="21"/>
      <c r="I23" s="22" t="s">
        <v>117</v>
      </c>
      <c r="J23" s="23" t="s">
        <v>118</v>
      </c>
      <c r="K23" s="23" t="s">
        <v>113</v>
      </c>
      <c r="L23" s="28" t="s">
        <v>119</v>
      </c>
    </row>
    <row r="24" spans="1:12" ht="20" customHeight="1" outlineLevel="1" x14ac:dyDescent="0.25">
      <c r="A24" s="16"/>
      <c r="B24" s="17" t="s">
        <v>120</v>
      </c>
      <c r="C24" s="24" t="s">
        <v>121</v>
      </c>
      <c r="D24" s="24" t="s">
        <v>56</v>
      </c>
      <c r="E24" s="25">
        <v>46294</v>
      </c>
      <c r="F24" s="25">
        <v>46296</v>
      </c>
      <c r="G24" s="20">
        <f t="shared" si="0"/>
        <v>3</v>
      </c>
      <c r="H24" s="21"/>
      <c r="I24" s="22" t="s">
        <v>122</v>
      </c>
      <c r="J24" s="23" t="s">
        <v>123</v>
      </c>
      <c r="K24" s="23" t="s">
        <v>59</v>
      </c>
      <c r="L24" s="28" t="s">
        <v>124</v>
      </c>
    </row>
    <row r="25" spans="1:12" ht="20" customHeight="1" outlineLevel="1" x14ac:dyDescent="0.25">
      <c r="A25" s="16"/>
      <c r="B25" s="17" t="s">
        <v>125</v>
      </c>
      <c r="C25" s="24" t="s">
        <v>126</v>
      </c>
      <c r="D25" s="24" t="s">
        <v>18</v>
      </c>
      <c r="E25" s="25">
        <v>46296</v>
      </c>
      <c r="F25" s="25">
        <v>46296</v>
      </c>
      <c r="G25" s="20">
        <f t="shared" si="0"/>
        <v>1</v>
      </c>
      <c r="H25" s="21"/>
      <c r="I25" s="22" t="s">
        <v>127</v>
      </c>
      <c r="J25" s="23" t="s">
        <v>128</v>
      </c>
      <c r="K25" s="23" t="s">
        <v>65</v>
      </c>
      <c r="L25" s="28" t="s">
        <v>129</v>
      </c>
    </row>
    <row r="26" spans="1:12" ht="20" customHeight="1" outlineLevel="1" x14ac:dyDescent="0.25">
      <c r="A26" s="16"/>
      <c r="B26" s="17" t="s">
        <v>130</v>
      </c>
      <c r="C26" s="24" t="s">
        <v>131</v>
      </c>
      <c r="D26" s="24" t="s">
        <v>33</v>
      </c>
      <c r="E26" s="25">
        <v>46300</v>
      </c>
      <c r="F26" s="25">
        <v>46301</v>
      </c>
      <c r="G26" s="20">
        <f t="shared" si="0"/>
        <v>2</v>
      </c>
      <c r="H26" s="21"/>
      <c r="I26" s="22" t="s">
        <v>132</v>
      </c>
      <c r="J26" s="23" t="s">
        <v>133</v>
      </c>
      <c r="K26" s="23" t="s">
        <v>29</v>
      </c>
      <c r="L26" s="28" t="s">
        <v>134</v>
      </c>
    </row>
    <row r="27" spans="1:12" ht="20" customHeight="1" outlineLevel="1" x14ac:dyDescent="0.25">
      <c r="A27" s="16"/>
      <c r="B27" s="17" t="s">
        <v>135</v>
      </c>
      <c r="C27" s="24" t="s">
        <v>136</v>
      </c>
      <c r="D27" s="24" t="s">
        <v>40</v>
      </c>
      <c r="E27" s="25">
        <v>46302</v>
      </c>
      <c r="F27" s="25">
        <v>46303</v>
      </c>
      <c r="G27" s="20">
        <f t="shared" si="0"/>
        <v>2</v>
      </c>
      <c r="H27" s="21"/>
      <c r="I27" s="22" t="s">
        <v>137</v>
      </c>
      <c r="J27" s="23" t="s">
        <v>138</v>
      </c>
      <c r="K27" s="23" t="s">
        <v>43</v>
      </c>
      <c r="L27" s="28" t="s">
        <v>139</v>
      </c>
    </row>
    <row r="28" spans="1:12" ht="20" customHeight="1" outlineLevel="1" x14ac:dyDescent="0.25">
      <c r="A28" s="16"/>
      <c r="B28" s="17" t="s">
        <v>140</v>
      </c>
      <c r="C28" s="24" t="s">
        <v>141</v>
      </c>
      <c r="D28" s="24" t="s">
        <v>56</v>
      </c>
      <c r="E28" s="25">
        <v>46300</v>
      </c>
      <c r="F28" s="25">
        <v>46301</v>
      </c>
      <c r="G28" s="20">
        <f t="shared" si="0"/>
        <v>2</v>
      </c>
      <c r="H28" s="21"/>
      <c r="I28" s="22" t="s">
        <v>142</v>
      </c>
      <c r="J28" s="23" t="s">
        <v>143</v>
      </c>
      <c r="K28" s="23" t="s">
        <v>59</v>
      </c>
      <c r="L28" s="28" t="s">
        <v>134</v>
      </c>
    </row>
    <row r="29" spans="1:12" ht="20" customHeight="1" outlineLevel="1" x14ac:dyDescent="0.25">
      <c r="A29" s="16"/>
      <c r="B29" s="17" t="s">
        <v>144</v>
      </c>
      <c r="C29" s="24" t="s">
        <v>145</v>
      </c>
      <c r="D29" s="24" t="s">
        <v>56</v>
      </c>
      <c r="E29" s="25">
        <v>46302</v>
      </c>
      <c r="F29" s="25">
        <v>46303</v>
      </c>
      <c r="G29" s="20">
        <f t="shared" si="0"/>
        <v>2</v>
      </c>
      <c r="H29" s="21"/>
      <c r="I29" s="22" t="s">
        <v>146</v>
      </c>
      <c r="J29" s="23" t="s">
        <v>147</v>
      </c>
      <c r="K29" s="23" t="s">
        <v>148</v>
      </c>
      <c r="L29" s="28" t="s">
        <v>149</v>
      </c>
    </row>
    <row r="30" spans="1:12" ht="20" customHeight="1" outlineLevel="1" x14ac:dyDescent="0.25">
      <c r="A30" s="16"/>
      <c r="B30" s="17" t="s">
        <v>150</v>
      </c>
      <c r="C30" s="24" t="s">
        <v>151</v>
      </c>
      <c r="D30" s="24" t="s">
        <v>33</v>
      </c>
      <c r="E30" s="25">
        <v>46302</v>
      </c>
      <c r="F30" s="25">
        <v>46303</v>
      </c>
      <c r="G30" s="20">
        <f t="shared" si="0"/>
        <v>2</v>
      </c>
      <c r="H30" s="21"/>
      <c r="I30" s="22" t="s">
        <v>152</v>
      </c>
      <c r="J30" s="23" t="s">
        <v>118</v>
      </c>
      <c r="K30" s="23" t="s">
        <v>148</v>
      </c>
      <c r="L30" s="28" t="s">
        <v>139</v>
      </c>
    </row>
    <row r="31" spans="1:12" ht="20" customHeight="1" outlineLevel="1" x14ac:dyDescent="0.25">
      <c r="A31" s="16"/>
      <c r="B31" s="17" t="s">
        <v>153</v>
      </c>
      <c r="C31" s="24" t="s">
        <v>154</v>
      </c>
      <c r="D31" s="24" t="s">
        <v>40</v>
      </c>
      <c r="E31" s="25">
        <v>46307</v>
      </c>
      <c r="F31" s="25">
        <v>46309</v>
      </c>
      <c r="G31" s="20">
        <f t="shared" si="0"/>
        <v>3</v>
      </c>
      <c r="H31" s="21"/>
      <c r="I31" s="22" t="s">
        <v>155</v>
      </c>
      <c r="J31" s="23" t="s">
        <v>112</v>
      </c>
      <c r="K31" s="23" t="s">
        <v>65</v>
      </c>
      <c r="L31" s="28" t="s">
        <v>156</v>
      </c>
    </row>
    <row r="32" spans="1:12" ht="20" customHeight="1" outlineLevel="1" x14ac:dyDescent="0.25">
      <c r="A32" s="16"/>
      <c r="B32" s="17" t="s">
        <v>157</v>
      </c>
      <c r="C32" s="24" t="s">
        <v>158</v>
      </c>
      <c r="D32" s="24" t="s">
        <v>33</v>
      </c>
      <c r="E32" s="25">
        <v>46307</v>
      </c>
      <c r="F32" s="25">
        <v>46309</v>
      </c>
      <c r="G32" s="20">
        <f t="shared" si="0"/>
        <v>3</v>
      </c>
      <c r="H32" s="21"/>
      <c r="I32" s="22" t="s">
        <v>159</v>
      </c>
      <c r="J32" s="23" t="s">
        <v>85</v>
      </c>
      <c r="K32" s="23" t="s">
        <v>80</v>
      </c>
      <c r="L32" s="28" t="s">
        <v>160</v>
      </c>
    </row>
    <row r="33" spans="1:12" ht="20" customHeight="1" outlineLevel="1" x14ac:dyDescent="0.25">
      <c r="A33" s="16"/>
      <c r="B33" s="17" t="s">
        <v>161</v>
      </c>
      <c r="C33" s="24" t="s">
        <v>162</v>
      </c>
      <c r="D33" s="24" t="s">
        <v>56</v>
      </c>
      <c r="E33" s="25">
        <v>46307</v>
      </c>
      <c r="F33" s="25">
        <v>46309</v>
      </c>
      <c r="G33" s="20">
        <f t="shared" si="0"/>
        <v>3</v>
      </c>
      <c r="H33" s="21"/>
      <c r="I33" s="22" t="s">
        <v>163</v>
      </c>
      <c r="J33" s="23" t="s">
        <v>164</v>
      </c>
      <c r="K33" s="23" t="s">
        <v>29</v>
      </c>
      <c r="L33" s="28" t="s">
        <v>165</v>
      </c>
    </row>
    <row r="34" spans="1:12" ht="20" customHeight="1" outlineLevel="1" x14ac:dyDescent="0.25">
      <c r="A34" s="16"/>
      <c r="B34" s="17" t="s">
        <v>166</v>
      </c>
      <c r="C34" s="24" t="s">
        <v>167</v>
      </c>
      <c r="D34" s="24" t="s">
        <v>33</v>
      </c>
      <c r="E34" s="25">
        <v>46310</v>
      </c>
      <c r="F34" s="25">
        <v>46311</v>
      </c>
      <c r="G34" s="20">
        <f t="shared" si="0"/>
        <v>2</v>
      </c>
      <c r="H34" s="21"/>
      <c r="I34" s="22" t="s">
        <v>168</v>
      </c>
      <c r="J34" s="23" t="s">
        <v>79</v>
      </c>
      <c r="K34" s="23" t="s">
        <v>113</v>
      </c>
      <c r="L34" s="28" t="s">
        <v>169</v>
      </c>
    </row>
    <row r="35" spans="1:12" ht="20" customHeight="1" outlineLevel="1" x14ac:dyDescent="0.25">
      <c r="A35" s="16"/>
      <c r="B35" s="17" t="s">
        <v>170</v>
      </c>
      <c r="C35" s="24" t="s">
        <v>171</v>
      </c>
      <c r="D35" s="24" t="s">
        <v>18</v>
      </c>
      <c r="E35" s="25">
        <v>46311</v>
      </c>
      <c r="F35" s="25">
        <v>46311</v>
      </c>
      <c r="G35" s="20">
        <f t="shared" si="0"/>
        <v>1</v>
      </c>
      <c r="H35" s="21"/>
      <c r="I35" s="22" t="s">
        <v>172</v>
      </c>
      <c r="J35" s="23" t="s">
        <v>90</v>
      </c>
      <c r="K35" s="23" t="s">
        <v>29</v>
      </c>
      <c r="L35" s="28" t="s">
        <v>91</v>
      </c>
    </row>
    <row r="38" spans="1:12" ht="32" customHeight="1" x14ac:dyDescent="0.25"/>
    <row r="39" spans="1:12" ht="32" customHeight="1" x14ac:dyDescent="0.25"/>
    <row r="40" spans="1:12" ht="32" customHeight="1" x14ac:dyDescent="0.25"/>
    <row r="41" spans="1:12" ht="38" customHeight="1" x14ac:dyDescent="0.25"/>
    <row r="42" spans="1:12" ht="38" customHeight="1" x14ac:dyDescent="0.25"/>
    <row r="43" spans="1:12" ht="38" customHeight="1" x14ac:dyDescent="0.25"/>
    <row r="44" spans="1:12" ht="38" customHeight="1" x14ac:dyDescent="0.25"/>
    <row r="45" spans="1:12" ht="32" customHeight="1" x14ac:dyDescent="0.25"/>
  </sheetData>
  <mergeCells count="8">
    <mergeCell ref="B3:C3"/>
    <mergeCell ref="D3:G3"/>
    <mergeCell ref="J3:L3"/>
    <mergeCell ref="B1:G1"/>
    <mergeCell ref="I1:L1"/>
    <mergeCell ref="B2:C2"/>
    <mergeCell ref="D2:G2"/>
    <mergeCell ref="J2:L2"/>
  </mergeCells>
  <phoneticPr fontId="19" type="noConversion"/>
  <conditionalFormatting sqref="H5:H35">
    <cfRule type="colorScale" priority="1">
      <colorScale>
        <cfvo type="min"/>
        <cfvo type="max"/>
        <color rgb="FFFFFFFF"/>
        <color rgb="FF3C78D8"/>
      </colorScale>
    </cfRule>
  </conditionalFormatting>
  <conditionalFormatting sqref="H6:H17 H19:H35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HwangJeongwon</cp:lastModifiedBy>
  <dcterms:created xsi:type="dcterms:W3CDTF">2026-09-21T13:18:32Z</dcterms:created>
  <dcterms:modified xsi:type="dcterms:W3CDTF">2026-09-21T13:19:42Z</dcterms:modified>
</cp:coreProperties>
</file>